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Sheet1" sheetId="1"/>
    <sheet r:id="rId2" name="Mgmt_Accounts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<sst xmlns="http://schemas.openxmlformats.org/spreadsheetml/2006/main" count="119" uniqueCount="119">
  <si>
    <t>Project Atlas Holdings - Monthly Management Reporting Pack</t>
  </si>
  <si>
    <t>All figures in GBP '000 unless otherwise stated | Source: monthly management accounts</t>
  </si>
  <si>
    <t>Reporting date</t>
  </si>
  <si>
    <t>Period ending</t>
  </si>
  <si>
    <t>FY25A</t>
  </si>
  <si>
    <t>FY26F</t>
  </si>
  <si>
    <t>FY27F</t>
  </si>
  <si>
    <t>Reporting basis</t>
  </si>
  <si>
    <t>Actual</t>
  </si>
  <si>
    <t>Forecast</t>
  </si>
  <si>
    <t>Actual / Forecast</t>
  </si>
  <si>
    <t>PROFIT &amp; LOSS</t>
  </si>
  <si>
    <t>Gross billings</t>
  </si>
  <si>
    <t>Customer rebates &amp; agency commissions</t>
  </si>
  <si>
    <t>Revenue (net of rebates)</t>
  </si>
  <si>
    <t>Cost of sales</t>
  </si>
  <si>
    <t>Gross profit</t>
  </si>
  <si>
    <t>Gross margin</t>
  </si>
  <si>
    <t>Staff costs</t>
  </si>
  <si>
    <t>Sales &amp; marketing</t>
  </si>
  <si>
    <t>Technology &amp; infrastructure</t>
  </si>
  <si>
    <t>Premises &amp; other overheads</t>
  </si>
  <si>
    <t>Total operating expenses</t>
  </si>
  <si>
    <t>Operating costs as % of revenue</t>
  </si>
  <si>
    <t>EBITDA (reported)</t>
  </si>
  <si>
    <t>Reported EBITDA margin</t>
  </si>
  <si>
    <t>Restructuring &amp; integration costs</t>
  </si>
  <si>
    <t>Non-recurring legal &amp; M&amp;A fees</t>
  </si>
  <si>
    <t>Founder / CMO remuneration normalisation</t>
  </si>
  <si>
    <t>Share-based payment charge</t>
  </si>
  <si>
    <t>Total EBITDA add-backs</t>
  </si>
  <si>
    <t>Normalised operating expenses</t>
  </si>
  <si>
    <t>Normalised opex as % of revenue</t>
  </si>
  <si>
    <t>Adjusted EBITDA</t>
  </si>
  <si>
    <t>Adjusted EBITDA margin</t>
  </si>
  <si>
    <t>Depreciation &amp; amortisation</t>
  </si>
  <si>
    <t>EBIT</t>
  </si>
  <si>
    <t>Net finance costs</t>
  </si>
  <si>
    <t>Profit before tax</t>
  </si>
  <si>
    <t>Tax charge</t>
  </si>
  <si>
    <t>Net income</t>
  </si>
  <si>
    <t>CASH FLOW</t>
  </si>
  <si>
    <t>Non-cash items &amp; provisions</t>
  </si>
  <si>
    <t>Movement in net working capital</t>
  </si>
  <si>
    <t>Other operating cash items</t>
  </si>
  <si>
    <t>Operating cash flow</t>
  </si>
  <si>
    <t>Corporation tax paid</t>
  </si>
  <si>
    <t>Maintenance capex</t>
  </si>
  <si>
    <t>Growth capex</t>
  </si>
  <si>
    <t>Total capital expenditure</t>
  </si>
  <si>
    <t>Exceptional / VCP / one-off cash items</t>
  </si>
  <si>
    <t>Unlevered free cash flow (UFCF)</t>
  </si>
  <si>
    <t>Cash interest paid</t>
  </si>
  <si>
    <t>Scheduled debt amortisation</t>
  </si>
  <si>
    <t>Levered free cash flow (LFCF)</t>
  </si>
  <si>
    <t>New financing drawn</t>
  </si>
  <si>
    <t>Acquisitions &amp; deferred consideration</t>
  </si>
  <si>
    <t>Shareholder distributions</t>
  </si>
  <si>
    <t>Other financing flows</t>
  </si>
  <si>
    <t>Unreconciled / FX movements</t>
  </si>
  <si>
    <t>Net movement in cash</t>
  </si>
  <si>
    <t>Opening cash</t>
  </si>
  <si>
    <t>Closing cash</t>
  </si>
  <si>
    <t>BALANCE SHEET</t>
  </si>
  <si>
    <t>Property, plant &amp; equipment</t>
  </si>
  <si>
    <t>Goodwill &amp; other intangibles</t>
  </si>
  <si>
    <t>Other non-current assets</t>
  </si>
  <si>
    <t>Total non-current assets</t>
  </si>
  <si>
    <t>Trade &amp; other receivables</t>
  </si>
  <si>
    <t>Trade &amp; other payables</t>
  </si>
  <si>
    <t>Inventory</t>
  </si>
  <si>
    <t>Other working capital items</t>
  </si>
  <si>
    <t>Net working capital</t>
  </si>
  <si>
    <t>Other assets</t>
  </si>
  <si>
    <t>Net capital employed</t>
  </si>
  <si>
    <t>Term Loan A (amortising)</t>
  </si>
  <si>
    <t>Term Loan B / senior secured notes</t>
  </si>
  <si>
    <t>Second lien / unsecured notes</t>
  </si>
  <si>
    <t>Other borrowings</t>
  </si>
  <si>
    <t>Gross acquisition &amp; refinancing debt</t>
  </si>
  <si>
    <t>Accrued interest</t>
  </si>
  <si>
    <t>RCF drawn</t>
  </si>
  <si>
    <t>Gross external debt</t>
  </si>
  <si>
    <t>Cash &amp; cash equivalents</t>
  </si>
  <si>
    <t>Net external debt</t>
  </si>
  <si>
    <t>Pension deficit (on BS)</t>
  </si>
  <si>
    <t>IFRS-16 lease liabilities</t>
  </si>
  <si>
    <t>Deferred tax liability (net)</t>
  </si>
  <si>
    <t>Other debt-like items</t>
  </si>
  <si>
    <t>Total debt-like items</t>
  </si>
  <si>
    <t>Net debt / (cash)</t>
  </si>
  <si>
    <t>Capitalised financing fees</t>
  </si>
  <si>
    <t>Other liabilities</t>
  </si>
  <si>
    <t>Preferred equity</t>
  </si>
  <si>
    <t>Net assets / total equity</t>
  </si>
  <si>
    <t>OPERATING KPIs &amp; CREDIT METRICS</t>
  </si>
  <si>
    <t>Active customers (#)</t>
  </si>
  <si>
    <t>New customer wins (#)</t>
  </si>
  <si>
    <t>Gross logo churn (% of opening base)</t>
  </si>
  <si>
    <t>Annual recurring revenue (ARR)</t>
  </si>
  <si>
    <t>ARPU (GBP, annualised)</t>
  </si>
  <si>
    <t>Order backlog</t>
  </si>
  <si>
    <t>Closing headcount (FTE)</t>
  </si>
  <si>
    <t>LTM net revenue per FTE (GBP '000)</t>
  </si>
  <si>
    <t>LTM net revenue</t>
  </si>
  <si>
    <t>LTM adjusted EBITDA</t>
  </si>
  <si>
    <t>Net leverage (x LTM adj. EBITDA)</t>
  </si>
  <si>
    <t>LTM interest cover (x)</t>
  </si>
  <si>
    <t>LTM cash conversion (% of adj. EBITDA)</t>
  </si>
  <si>
    <t>Capex as % of revenue</t>
  </si>
  <si>
    <t>Debtor days (DSO)</t>
  </si>
  <si>
    <t>Creditor days (DPO)</t>
  </si>
  <si>
    <t>Inventory days (DIO)</t>
  </si>
  <si>
    <t>Leverage covenant level (x)</t>
  </si>
  <si>
    <t>Covenant headroom (x)</t>
  </si>
  <si>
    <t>KEY ASSUMPTIONS</t>
  </si>
  <si>
    <t>Effective tax rate</t>
  </si>
  <si>
    <t>FY27 growth / roll-forward rate</t>
  </si>
  <si>
    <t>Opening cash at Jan-23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</si>
</sst>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797" formatCode="dd-mmm-yyyy"/>
    <numFmt numFmtId="5798" formatCode="_(#,##0.0_);(#,##0.0);&quot;-&quot;"/>
    <numFmt numFmtId="6058" formatCode="0.0%"/>
    <numFmt numFmtId="10686" formatCode="0.00x"/>
  </numFmts>
  <fonts count="12">
    <font>
      <b val="0"/>
      <i val="0"/>
      <sz val="12"/>
      <color theme="1"/>
      <name val="Aptos Narrow"/>
      <scheme val="minor"/>
    </font>
    <font>
      <sz val="10"/>
      <color rgb="FF212529"/>
      <name val="Arial"/>
    </font>
    <font>
      <b/>
      <sz val="16"/>
      <color rgb="FF1B2A4A"/>
      <name val="Arial Nova Light"/>
    </font>
    <font>
      <i/>
      <sz val="10"/>
      <color rgb="FF6C757D"/>
      <name val="Arial"/>
    </font>
    <font>
      <b/>
      <sz val="10"/>
      <color rgb="FF212529"/>
      <name val="Arial"/>
    </font>
    <font>
      <b/>
      <sz val="10"/>
      <color rgb="FFFFFFFF"/>
      <name val="Arial"/>
    </font>
    <font>
      <i/>
      <sz val="9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495057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36987"/>
      </patternFill>
    </fill>
    <fill>
      <patternFill patternType="solid">
        <fgColor rgb="FF1B2A4A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 style="thin">
        <color rgb="FFADB5BD"/>
      </left>
    </border>
    <border>
      <top style="thin">
        <color rgb="FFADB5BD"/>
      </top>
    </border>
    <border>
      <left style="thin">
        <color rgb="FFADB5BD"/>
      </left>
      <top style="thin">
        <color rgb="FFADB5BD"/>
      </top>
    </border>
  </borders>
  <cellStyleXfs count="1">
    <xf numFmtId="0" fontId="0" fillId="0" borderId="1"/>
  </cellStyleXfs>
  <cellXfs count="43">
    <xf numFmtId="0" fontId="0" fillId="0" borderId="1" xfId="0"/>
    <xf numFmtId="0" fontId="1" fillId="0" borderId="0" xfId="0">
      <alignment vertical="top"/>
    </xf>
    <xf numFmtId="0" fontId="2" fillId="0" borderId="0" xfId="0">
      <alignment vertical="top"/>
    </xf>
    <xf numFmtId="0" fontId="3" fillId="0" borderId="0" xfId="0">
      <alignment vertical="top"/>
    </xf>
    <xf numFmtId="0" fontId="4" fillId="0" borderId="0" xfId="0">
      <alignment vertical="top"/>
    </xf>
    <xf numFmtId="5797" fontId="1" fillId="0" borderId="0" xfId="0">
      <alignment vertical="top"/>
    </xf>
    <xf numFmtId="0" fontId="5" fillId="2" borderId="0" xfId="0">
      <alignment horizontal="left" vertical="top"/>
    </xf>
    <xf numFmtId="17" fontId="5" fillId="2" borderId="0" xfId="0">
      <alignment horizontal="center" vertical="top"/>
    </xf>
    <xf numFmtId="0" fontId="5" fillId="2" borderId="0" xfId="0">
      <alignment horizontal="center" vertical="top"/>
    </xf>
    <xf numFmtId="0" fontId="5" fillId="2" borderId="2" xfId="0">
      <alignment horizontal="center" vertical="top"/>
    </xf>
    <xf numFmtId="0" fontId="6" fillId="2" borderId="0" xfId="0">
      <alignment horizontal="center" vertical="top"/>
    </xf>
    <xf numFmtId="0" fontId="6" fillId="2" borderId="2" xfId="0">
      <alignment horizontal="center" vertical="top"/>
    </xf>
    <xf numFmtId="0" fontId="1" fillId="0" borderId="2" xfId="0">
      <alignment vertical="top"/>
    </xf>
    <xf numFmtId="0" fontId="5" fillId="3" borderId="0" xfId="0">
      <alignment vertical="top"/>
    </xf>
    <xf numFmtId="0" fontId="5" fillId="3" borderId="2" xfId="0">
      <alignment vertical="top"/>
    </xf>
    <xf numFmtId="5798" fontId="7" fillId="0" borderId="0" xfId="0">
      <alignment vertical="top"/>
    </xf>
    <xf numFmtId="5798" fontId="1" fillId="0" borderId="0" xfId="0">
      <alignment vertical="top"/>
    </xf>
    <xf numFmtId="5798" fontId="8" fillId="0" borderId="2" xfId="0">
      <alignment vertical="top"/>
    </xf>
    <xf numFmtId="0" fontId="1" fillId="0" borderId="0" xfId="0">
      <alignment horizontal="left" vertical="top" indent="1"/>
    </xf>
    <xf numFmtId="0" fontId="4" fillId="0" borderId="3" xfId="0">
      <alignment vertical="top"/>
    </xf>
    <xf numFmtId="5798" fontId="9" fillId="0" borderId="3" xfId="0">
      <alignment vertical="top"/>
    </xf>
    <xf numFmtId="5798" fontId="4" fillId="0" borderId="3" xfId="0">
      <alignment vertical="top"/>
    </xf>
    <xf numFmtId="5798" fontId="9" fillId="0" borderId="4" xfId="0">
      <alignment vertical="top"/>
    </xf>
    <xf numFmtId="0" fontId="10" fillId="0" borderId="0" xfId="0">
      <alignment vertical="top"/>
    </xf>
    <xf numFmtId="6058" fontId="11" fillId="0" borderId="0" xfId="0">
      <alignment vertical="top"/>
    </xf>
    <xf numFmtId="6058" fontId="10" fillId="0" borderId="0" xfId="0">
      <alignment vertical="top"/>
    </xf>
    <xf numFmtId="6058" fontId="11" fillId="0" borderId="2" xfId="0">
      <alignment vertical="top"/>
    </xf>
    <xf numFmtId="5798" fontId="8" fillId="0" borderId="0" xfId="0">
      <alignment vertical="top"/>
    </xf>
    <xf numFmtId="5798" fontId="1" fillId="0" borderId="2" xfId="0">
      <alignment vertical="top"/>
    </xf>
    <xf numFmtId="5798" fontId="5" fillId="3" borderId="0" xfId="0">
      <alignment vertical="top"/>
    </xf>
    <xf numFmtId="5798" fontId="5" fillId="3" borderId="2" xfId="0">
      <alignment vertical="top"/>
    </xf>
    <xf numFmtId="3" fontId="7" fillId="0" borderId="0" xfId="0">
      <alignment vertical="top"/>
    </xf>
    <xf numFmtId="3" fontId="1" fillId="0" borderId="0" xfId="0">
      <alignment vertical="top"/>
    </xf>
    <xf numFmtId="3" fontId="8" fillId="0" borderId="2" xfId="0">
      <alignment vertical="top"/>
    </xf>
    <xf numFmtId="6058" fontId="7" fillId="0" borderId="0" xfId="0">
      <alignment vertical="top"/>
    </xf>
    <xf numFmtId="6058" fontId="1" fillId="0" borderId="0" xfId="0">
      <alignment vertical="top"/>
    </xf>
    <xf numFmtId="6058" fontId="8" fillId="0" borderId="2" xfId="0">
      <alignment vertical="top"/>
    </xf>
    <xf numFmtId="3" fontId="8" fillId="0" borderId="0" xfId="0">
      <alignment vertical="top"/>
    </xf>
    <xf numFmtId="10686" fontId="1" fillId="0" borderId="0" xfId="0">
      <alignment vertical="top"/>
    </xf>
    <xf numFmtId="10686" fontId="8" fillId="0" borderId="0" xfId="0">
      <alignment vertical="top"/>
    </xf>
    <xf numFmtId="10686" fontId="8" fillId="0" borderId="2" xfId="0">
      <alignment vertical="top"/>
    </xf>
    <xf numFmtId="6058" fontId="8" fillId="0" borderId="0" xfId="0">
      <alignment vertical="top"/>
    </xf>
    <xf numFmtId="10686" fontId="7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829678-FC0E-8A4B-6EE8-5BAB14CC8A03}" mc:Ignorable="x14ac xr xr2 xr3">
  <dimension ref="A1:CV10000"/>
  <sheetViews>
    <sheetView showGridLines="0" topLeftCell="A1" zoomScale="90" workbookViewId="0">
      <selection activeCell="A1" sqref="A1"/>
    </sheetView>
  </sheetViews>
  <sheetFormatPr defaultRowHeight="15.997499999999997" defaultColWidth="9.00390625" customHeight="1"/>
  <sheetData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CCDA68-A936-C188-6658-7BCE27D87BC8}" mc:Ignorable="x14ac xr xr2 xr3">
  <dimension ref="A1:CV10000"/>
  <sheetViews>
    <sheetView showGridLines="0" workbookViewId="0" tabSelected="1">
      <pane xSplit="3" ySplit="7" topLeftCell="D155" activePane="bottomRight" state="frozen"/>
      <selection pane="bottomLeft" activeCell="A8" sqref="A8"/>
      <selection pane="topRight" activeCell="D1" sqref="D1"/>
      <selection pane="bottomRight" activeCell="A1" sqref="A1"/>
    </sheetView>
  </sheetViews>
  <sheetFormatPr defaultRowHeight="15" defaultColWidth="7.75390625" customHeight="1"/>
  <cols>
    <col min="1" max="1" width="3.00390625" customWidth="1"/>
    <col min="2" max="2" width="37.50390625" customWidth="1"/>
    <col min="3" max="50" width="9.25390625" customWidth="1"/>
    <col min="51" max="51" width="3.00390625" customWidth="1"/>
    <col min="52" max="54" width="11.50390625" customWidth="1"/>
  </cols>
  <sheetData>
    <row r="1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5" customHeight="1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15" customHeight="1"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5" customHeight="1">
      <c r="B4" s="4" t="s">
        <v>2</v>
      </c>
      <c r="C4" s="5">
        <f>TODAY()</f>
        <v>46249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ht="1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ht="15" customHeight="1">
      <c r="B6" s="6" t="s">
        <v>3</v>
      </c>
      <c r="C6" s="7">
        <v>44957</v>
      </c>
      <c r="D6" s="7">
        <f t="shared" si="0" ref="D6:AX6">EOMONTH(C6,1)</f>
        <v>44985</v>
      </c>
      <c r="E6" s="7">
        <f t="shared" si="0"/>
        <v>45016</v>
      </c>
      <c r="F6" s="7">
        <f t="shared" si="0"/>
        <v>45046</v>
      </c>
      <c r="G6" s="7">
        <f t="shared" si="0"/>
        <v>45077</v>
      </c>
      <c r="H6" s="7">
        <f t="shared" si="0"/>
        <v>45107</v>
      </c>
      <c r="I6" s="7">
        <f t="shared" si="0"/>
        <v>45138</v>
      </c>
      <c r="J6" s="7">
        <f t="shared" si="0"/>
        <v>45169</v>
      </c>
      <c r="K6" s="7">
        <f t="shared" si="0"/>
        <v>45199</v>
      </c>
      <c r="L6" s="7">
        <f t="shared" si="0"/>
        <v>45230</v>
      </c>
      <c r="M6" s="7">
        <f t="shared" si="0"/>
        <v>45260</v>
      </c>
      <c r="N6" s="7">
        <f t="shared" si="0"/>
        <v>45291</v>
      </c>
      <c r="O6" s="7">
        <f t="shared" si="0"/>
        <v>45322</v>
      </c>
      <c r="P6" s="7">
        <f t="shared" si="0"/>
        <v>45351</v>
      </c>
      <c r="Q6" s="7">
        <f t="shared" si="0"/>
        <v>45382</v>
      </c>
      <c r="R6" s="7">
        <f t="shared" si="0"/>
        <v>45412</v>
      </c>
      <c r="S6" s="7">
        <f t="shared" si="0"/>
        <v>45443</v>
      </c>
      <c r="T6" s="7">
        <f t="shared" si="0"/>
        <v>45473</v>
      </c>
      <c r="U6" s="7">
        <f t="shared" si="0"/>
        <v>45504</v>
      </c>
      <c r="V6" s="7">
        <f t="shared" si="0"/>
        <v>45535</v>
      </c>
      <c r="W6" s="7">
        <f t="shared" si="0"/>
        <v>45565</v>
      </c>
      <c r="X6" s="7">
        <f t="shared" si="0"/>
        <v>45596</v>
      </c>
      <c r="Y6" s="7">
        <f t="shared" si="0"/>
        <v>45626</v>
      </c>
      <c r="Z6" s="7">
        <f t="shared" si="0"/>
        <v>45657</v>
      </c>
      <c r="AA6" s="7">
        <f t="shared" si="0"/>
        <v>45688</v>
      </c>
      <c r="AB6" s="7">
        <f t="shared" si="0"/>
        <v>45716</v>
      </c>
      <c r="AC6" s="7">
        <f t="shared" si="0"/>
        <v>45747</v>
      </c>
      <c r="AD6" s="7">
        <f t="shared" si="0"/>
        <v>45777</v>
      </c>
      <c r="AE6" s="7">
        <f t="shared" si="0"/>
        <v>45808</v>
      </c>
      <c r="AF6" s="7">
        <f t="shared" si="0"/>
        <v>45838</v>
      </c>
      <c r="AG6" s="7">
        <f t="shared" si="0"/>
        <v>45869</v>
      </c>
      <c r="AH6" s="7">
        <f t="shared" si="0"/>
        <v>45900</v>
      </c>
      <c r="AI6" s="7">
        <f t="shared" si="0"/>
        <v>45930</v>
      </c>
      <c r="AJ6" s="7">
        <f t="shared" si="0"/>
        <v>45961</v>
      </c>
      <c r="AK6" s="7">
        <f t="shared" si="0"/>
        <v>45991</v>
      </c>
      <c r="AL6" s="7">
        <f t="shared" si="0"/>
        <v>46022</v>
      </c>
      <c r="AM6" s="7">
        <f t="shared" si="0"/>
        <v>46053</v>
      </c>
      <c r="AN6" s="7">
        <f t="shared" si="0"/>
        <v>46081</v>
      </c>
      <c r="AO6" s="7">
        <f t="shared" si="0"/>
        <v>46112</v>
      </c>
      <c r="AP6" s="7">
        <f t="shared" si="0"/>
        <v>46142</v>
      </c>
      <c r="AQ6" s="7">
        <f t="shared" si="0"/>
        <v>46173</v>
      </c>
      <c r="AR6" s="7">
        <f t="shared" si="0"/>
        <v>46203</v>
      </c>
      <c r="AS6" s="7">
        <f t="shared" si="0"/>
        <v>46234</v>
      </c>
      <c r="AT6" s="7">
        <f t="shared" si="0"/>
        <v>46265</v>
      </c>
      <c r="AU6" s="7">
        <f t="shared" si="0"/>
        <v>46295</v>
      </c>
      <c r="AV6" s="7">
        <f t="shared" si="0"/>
        <v>46326</v>
      </c>
      <c r="AW6" s="7">
        <f t="shared" si="0"/>
        <v>46356</v>
      </c>
      <c r="AX6" s="7">
        <f t="shared" si="0"/>
        <v>46387</v>
      </c>
      <c r="AY6" s="8"/>
      <c r="AZ6" s="9" t="s">
        <v>4</v>
      </c>
      <c r="BA6" s="9" t="s">
        <v>5</v>
      </c>
      <c r="BB6" s="9" t="s">
        <v>6</v>
      </c>
    </row>
    <row r="7" ht="15" customHeight="1">
      <c r="B7" s="6" t="s">
        <v>7</v>
      </c>
      <c r="C7" s="10" t="str">
        <f t="shared" si="1" ref="C7:AX7">IF(C$6&lt;EOMONTH($C$4,-1),"Actual","Forecast")</f>
        <v>Actual</v>
      </c>
      <c r="D7" s="10" t="str">
        <f t="shared" si="1"/>
        <v>Actual</v>
      </c>
      <c r="E7" s="10" t="str">
        <f t="shared" si="1"/>
        <v>Actual</v>
      </c>
      <c r="F7" s="10" t="str">
        <f t="shared" si="1"/>
        <v>Actual</v>
      </c>
      <c r="G7" s="10" t="str">
        <f t="shared" si="1"/>
        <v>Actual</v>
      </c>
      <c r="H7" s="10" t="str">
        <f t="shared" si="1"/>
        <v>Actual</v>
      </c>
      <c r="I7" s="10" t="str">
        <f t="shared" si="1"/>
        <v>Actual</v>
      </c>
      <c r="J7" s="10" t="str">
        <f t="shared" si="1"/>
        <v>Actual</v>
      </c>
      <c r="K7" s="10" t="str">
        <f t="shared" si="1"/>
        <v>Actual</v>
      </c>
      <c r="L7" s="10" t="str">
        <f t="shared" si="1"/>
        <v>Actual</v>
      </c>
      <c r="M7" s="10" t="str">
        <f t="shared" si="1"/>
        <v>Actual</v>
      </c>
      <c r="N7" s="10" t="str">
        <f t="shared" si="1"/>
        <v>Actual</v>
      </c>
      <c r="O7" s="10" t="str">
        <f t="shared" si="1"/>
        <v>Actual</v>
      </c>
      <c r="P7" s="10" t="str">
        <f t="shared" si="1"/>
        <v>Actual</v>
      </c>
      <c r="Q7" s="10" t="str">
        <f t="shared" si="1"/>
        <v>Actual</v>
      </c>
      <c r="R7" s="10" t="str">
        <f t="shared" si="1"/>
        <v>Actual</v>
      </c>
      <c r="S7" s="10" t="str">
        <f t="shared" si="1"/>
        <v>Actual</v>
      </c>
      <c r="T7" s="10" t="str">
        <f t="shared" si="1"/>
        <v>Actual</v>
      </c>
      <c r="U7" s="10" t="str">
        <f t="shared" si="1"/>
        <v>Actual</v>
      </c>
      <c r="V7" s="10" t="str">
        <f t="shared" si="1"/>
        <v>Actual</v>
      </c>
      <c r="W7" s="10" t="str">
        <f t="shared" si="1"/>
        <v>Actual</v>
      </c>
      <c r="X7" s="10" t="str">
        <f t="shared" si="1"/>
        <v>Actual</v>
      </c>
      <c r="Y7" s="10" t="str">
        <f t="shared" si="1"/>
        <v>Actual</v>
      </c>
      <c r="Z7" s="10" t="str">
        <f t="shared" si="1"/>
        <v>Actual</v>
      </c>
      <c r="AA7" s="10" t="str">
        <f t="shared" si="1"/>
        <v>Actual</v>
      </c>
      <c r="AB7" s="10" t="str">
        <f t="shared" si="1"/>
        <v>Actual</v>
      </c>
      <c r="AC7" s="10" t="str">
        <f t="shared" si="1"/>
        <v>Actual</v>
      </c>
      <c r="AD7" s="10" t="str">
        <f t="shared" si="1"/>
        <v>Actual</v>
      </c>
      <c r="AE7" s="10" t="str">
        <f t="shared" si="1"/>
        <v>Actual</v>
      </c>
      <c r="AF7" s="10" t="str">
        <f t="shared" si="1"/>
        <v>Actual</v>
      </c>
      <c r="AG7" s="10" t="str">
        <f t="shared" si="1"/>
        <v>Actual</v>
      </c>
      <c r="AH7" s="10" t="str">
        <f t="shared" si="1"/>
        <v>Actual</v>
      </c>
      <c r="AI7" s="10" t="str">
        <f t="shared" si="1"/>
        <v>Actual</v>
      </c>
      <c r="AJ7" s="10" t="str">
        <f t="shared" si="1"/>
        <v>Actual</v>
      </c>
      <c r="AK7" s="10" t="str">
        <f t="shared" si="1"/>
        <v>Actual</v>
      </c>
      <c r="AL7" s="10" t="str">
        <f t="shared" si="1"/>
        <v>Actual</v>
      </c>
      <c r="AM7" s="10" t="str">
        <f t="shared" si="1"/>
        <v>Actual</v>
      </c>
      <c r="AN7" s="10" t="str">
        <f t="shared" si="1"/>
        <v>Actual</v>
      </c>
      <c r="AO7" s="10" t="str">
        <f t="shared" si="1"/>
        <v>Actual</v>
      </c>
      <c r="AP7" s="10" t="str">
        <f t="shared" si="1"/>
        <v>Actual</v>
      </c>
      <c r="AQ7" s="10" t="str">
        <f t="shared" si="1"/>
        <v>Actual</v>
      </c>
      <c r="AR7" s="10" t="str">
        <f t="shared" si="1"/>
        <v>Actual</v>
      </c>
      <c r="AS7" s="10" t="str">
        <f t="shared" si="1"/>
        <v>Forecast</v>
      </c>
      <c r="AT7" s="10" t="str">
        <f t="shared" si="1"/>
        <v>Forecast</v>
      </c>
      <c r="AU7" s="10" t="str">
        <f t="shared" si="1"/>
        <v>Forecast</v>
      </c>
      <c r="AV7" s="10" t="str">
        <f t="shared" si="1"/>
        <v>Forecast</v>
      </c>
      <c r="AW7" s="10" t="str">
        <f t="shared" si="1"/>
        <v>Forecast</v>
      </c>
      <c r="AX7" s="10" t="str">
        <f t="shared" si="1"/>
        <v>Forecast</v>
      </c>
      <c r="AY7" s="10"/>
      <c r="AZ7" s="11" t="s">
        <v>8</v>
      </c>
      <c r="BA7" s="11" t="s">
        <v>10</v>
      </c>
      <c r="BB7" s="11" t="s">
        <v>9</v>
      </c>
    </row>
    <row r="8" ht="1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2"/>
      <c r="BA8" s="12"/>
      <c r="BB8" s="12"/>
    </row>
    <row r="9" ht="15" customHeight="1">
      <c r="B9" s="13" t="s">
        <v>11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4"/>
      <c r="BA9" s="14"/>
      <c r="BB9" s="14"/>
    </row>
    <row r="10" ht="15" customHeight="1">
      <c r="B10" s="1" t="s">
        <v>12</v>
      </c>
      <c r="C10" s="15">
        <v>3962.5</v>
      </c>
      <c r="D10" s="15">
        <v>4019.6</v>
      </c>
      <c r="E10" s="15">
        <v>4550.7</v>
      </c>
      <c r="F10" s="15">
        <v>4297.4</v>
      </c>
      <c r="G10" s="15">
        <v>4485.1</v>
      </c>
      <c r="H10" s="15">
        <v>4679</v>
      </c>
      <c r="I10" s="15">
        <v>4059.6</v>
      </c>
      <c r="J10" s="15">
        <v>3971.5</v>
      </c>
      <c r="K10" s="15">
        <v>4714</v>
      </c>
      <c r="L10" s="15">
        <v>4951.3</v>
      </c>
      <c r="M10" s="15">
        <v>4895.5</v>
      </c>
      <c r="N10" s="15">
        <v>4526.9</v>
      </c>
      <c r="O10" s="15">
        <v>4425.7</v>
      </c>
      <c r="P10" s="15">
        <v>4567.6</v>
      </c>
      <c r="Q10" s="15">
        <v>4987.4</v>
      </c>
      <c r="R10" s="15">
        <v>4807.1</v>
      </c>
      <c r="S10" s="15">
        <v>5007.9</v>
      </c>
      <c r="T10" s="15">
        <v>5301.4</v>
      </c>
      <c r="U10" s="15">
        <v>4591.7</v>
      </c>
      <c r="V10" s="15">
        <v>4407.6</v>
      </c>
      <c r="W10" s="15">
        <v>5399</v>
      </c>
      <c r="X10" s="15">
        <v>5449.2</v>
      </c>
      <c r="Y10" s="15">
        <v>5581.8</v>
      </c>
      <c r="Z10" s="15">
        <v>5071.2</v>
      </c>
      <c r="AA10" s="15">
        <v>4876.8</v>
      </c>
      <c r="AB10" s="15">
        <v>4959.2</v>
      </c>
      <c r="AC10" s="15">
        <v>5551.5</v>
      </c>
      <c r="AD10" s="15">
        <v>5405.7</v>
      </c>
      <c r="AE10" s="15">
        <v>5447.6</v>
      </c>
      <c r="AF10" s="15">
        <v>5770.1</v>
      </c>
      <c r="AG10" s="15">
        <v>5051.7</v>
      </c>
      <c r="AH10" s="15">
        <v>4827.1</v>
      </c>
      <c r="AI10" s="15">
        <v>5830.6</v>
      </c>
      <c r="AJ10" s="15">
        <v>5951.4</v>
      </c>
      <c r="AK10" s="15">
        <v>5937</v>
      </c>
      <c r="AL10" s="15">
        <v>5500.1</v>
      </c>
      <c r="AM10" s="15">
        <v>5388.8</v>
      </c>
      <c r="AN10" s="15">
        <v>5442.9</v>
      </c>
      <c r="AO10" s="15">
        <v>6037.3</v>
      </c>
      <c r="AP10" s="15">
        <v>5837.4</v>
      </c>
      <c r="AQ10" s="15">
        <v>5972.1</v>
      </c>
      <c r="AR10" s="15">
        <v>6221</v>
      </c>
      <c r="AS10" s="15">
        <v>5518.3</v>
      </c>
      <c r="AT10" s="15">
        <v>5300.2</v>
      </c>
      <c r="AU10" s="15">
        <v>6282</v>
      </c>
      <c r="AV10" s="15">
        <v>6571.7</v>
      </c>
      <c r="AW10" s="15">
        <v>6546.8</v>
      </c>
      <c r="AX10" s="15">
        <v>6101.4</v>
      </c>
      <c r="AY10" s="16"/>
      <c r="AZ10" s="17">
        <f t="shared" si="2" ref="AZ10:AZ99">SUM(AA10:AL10)</f>
        <v>65108.8</v>
      </c>
      <c r="BA10" s="17">
        <f t="shared" si="3" ref="BA10:BA99">SUM(AM10:AX10)</f>
        <v>71219.9</v>
      </c>
      <c r="BB10" s="17">
        <f t="shared" si="4" ref="BB10:BB99">BA10*(1+$C$120)</f>
        <v>75493.094</v>
      </c>
    </row>
    <row r="11" ht="15" customHeight="1">
      <c r="B11" s="18" t="s">
        <v>13</v>
      </c>
      <c r="C11" s="15">
        <v>-144.1</v>
      </c>
      <c r="D11" s="15">
        <v>-135.6</v>
      </c>
      <c r="E11" s="15">
        <v>-172.4</v>
      </c>
      <c r="F11" s="15">
        <v>-140.6</v>
      </c>
      <c r="G11" s="15">
        <v>-154.8</v>
      </c>
      <c r="H11" s="15">
        <v>-171</v>
      </c>
      <c r="I11" s="15">
        <v>-133.6</v>
      </c>
      <c r="J11" s="15">
        <v>-138.7</v>
      </c>
      <c r="K11" s="15">
        <v>-152</v>
      </c>
      <c r="L11" s="15">
        <v>-178.3</v>
      </c>
      <c r="M11" s="15">
        <v>-179.1</v>
      </c>
      <c r="N11" s="15">
        <v>-160.4</v>
      </c>
      <c r="O11" s="15">
        <v>-164.9</v>
      </c>
      <c r="P11" s="15">
        <v>-154.8</v>
      </c>
      <c r="Q11" s="15">
        <v>-180.4</v>
      </c>
      <c r="R11" s="15">
        <v>-171</v>
      </c>
      <c r="S11" s="15">
        <v>-177.7</v>
      </c>
      <c r="T11" s="15">
        <v>-184.2</v>
      </c>
      <c r="U11" s="15">
        <v>-170.1</v>
      </c>
      <c r="V11" s="15">
        <v>-166</v>
      </c>
      <c r="W11" s="15">
        <v>-188.1</v>
      </c>
      <c r="X11" s="15">
        <v>-196.1</v>
      </c>
      <c r="Y11" s="15">
        <v>-180.6</v>
      </c>
      <c r="Z11" s="15">
        <v>-183.6</v>
      </c>
      <c r="AA11" s="15">
        <v>-175</v>
      </c>
      <c r="AB11" s="15">
        <v>-188.2</v>
      </c>
      <c r="AC11" s="15">
        <v>-205</v>
      </c>
      <c r="AD11" s="15">
        <v>-182.2</v>
      </c>
      <c r="AE11" s="15">
        <v>-186.9</v>
      </c>
      <c r="AF11" s="15">
        <v>-207.8</v>
      </c>
      <c r="AG11" s="15">
        <v>-162.3</v>
      </c>
      <c r="AH11" s="15">
        <v>-167.8</v>
      </c>
      <c r="AI11" s="15">
        <v>-192.5</v>
      </c>
      <c r="AJ11" s="15">
        <v>-194.6</v>
      </c>
      <c r="AK11" s="15">
        <v>-192.1</v>
      </c>
      <c r="AL11" s="15">
        <v>-201.4</v>
      </c>
      <c r="AM11" s="15">
        <v>-176.6</v>
      </c>
      <c r="AN11" s="15">
        <v>-182.3</v>
      </c>
      <c r="AO11" s="15">
        <v>-207.4</v>
      </c>
      <c r="AP11" s="15">
        <v>-217.3</v>
      </c>
      <c r="AQ11" s="15">
        <v>-194</v>
      </c>
      <c r="AR11" s="15">
        <v>-215.8</v>
      </c>
      <c r="AS11" s="15">
        <v>-194.8</v>
      </c>
      <c r="AT11" s="15">
        <v>-197.7</v>
      </c>
      <c r="AU11" s="15">
        <v>-231.9</v>
      </c>
      <c r="AV11" s="15">
        <v>-244.4</v>
      </c>
      <c r="AW11" s="15">
        <v>-220.4</v>
      </c>
      <c r="AX11" s="15">
        <v>-210.4</v>
      </c>
      <c r="AY11" s="16"/>
      <c r="AZ11" s="17">
        <f t="shared" si="2"/>
        <v>-2255.8</v>
      </c>
      <c r="BA11" s="17">
        <f t="shared" si="3"/>
        <v>-2493</v>
      </c>
      <c r="BB11" s="17">
        <f t="shared" si="4"/>
        <v>-2642.58</v>
      </c>
    </row>
    <row r="12" ht="15" customHeight="1">
      <c r="B12" s="19" t="s">
        <v>14</v>
      </c>
      <c r="C12" s="20">
        <f t="shared" si="5" ref="C12:AX49">C10+C11</f>
        <v>3818.4</v>
      </c>
      <c r="D12" s="20">
        <f t="shared" si="5"/>
        <v>3884</v>
      </c>
      <c r="E12" s="20">
        <f t="shared" si="5"/>
        <v>4378.3</v>
      </c>
      <c r="F12" s="20">
        <f t="shared" si="5"/>
        <v>4156.8</v>
      </c>
      <c r="G12" s="20">
        <f t="shared" si="5"/>
        <v>4330.3</v>
      </c>
      <c r="H12" s="20">
        <f t="shared" si="5"/>
        <v>4508</v>
      </c>
      <c r="I12" s="20">
        <f t="shared" si="5"/>
        <v>3926</v>
      </c>
      <c r="J12" s="20">
        <f t="shared" si="5"/>
        <v>3832.8</v>
      </c>
      <c r="K12" s="20">
        <f t="shared" si="5"/>
        <v>4562</v>
      </c>
      <c r="L12" s="20">
        <f t="shared" si="5"/>
        <v>4773</v>
      </c>
      <c r="M12" s="20">
        <f t="shared" si="5"/>
        <v>4716.4</v>
      </c>
      <c r="N12" s="20">
        <f t="shared" si="5"/>
        <v>4366.5</v>
      </c>
      <c r="O12" s="20">
        <f t="shared" si="5"/>
        <v>4260.8</v>
      </c>
      <c r="P12" s="20">
        <f t="shared" si="5"/>
        <v>4412.8</v>
      </c>
      <c r="Q12" s="20">
        <f t="shared" si="5"/>
        <v>4807</v>
      </c>
      <c r="R12" s="20">
        <f t="shared" si="5"/>
        <v>4636.1</v>
      </c>
      <c r="S12" s="20">
        <f t="shared" si="5"/>
        <v>4830.2</v>
      </c>
      <c r="T12" s="20">
        <f t="shared" si="5"/>
        <v>5117.2</v>
      </c>
      <c r="U12" s="20">
        <f t="shared" si="5"/>
        <v>4421.6</v>
      </c>
      <c r="V12" s="20">
        <f t="shared" si="5"/>
        <v>4241.6</v>
      </c>
      <c r="W12" s="20">
        <f t="shared" si="5"/>
        <v>5210.9</v>
      </c>
      <c r="X12" s="20">
        <f t="shared" si="5"/>
        <v>5253.1</v>
      </c>
      <c r="Y12" s="20">
        <f t="shared" si="5"/>
        <v>5401.2</v>
      </c>
      <c r="Z12" s="20">
        <f t="shared" si="5"/>
        <v>4887.6</v>
      </c>
      <c r="AA12" s="20">
        <f t="shared" si="5"/>
        <v>4701.8</v>
      </c>
      <c r="AB12" s="20">
        <f t="shared" si="5"/>
        <v>4771</v>
      </c>
      <c r="AC12" s="20">
        <f t="shared" si="5"/>
        <v>5346.5</v>
      </c>
      <c r="AD12" s="20">
        <f t="shared" si="5"/>
        <v>5223.5</v>
      </c>
      <c r="AE12" s="20">
        <f t="shared" si="5"/>
        <v>5260.7</v>
      </c>
      <c r="AF12" s="20">
        <f t="shared" si="5"/>
        <v>5562.3</v>
      </c>
      <c r="AG12" s="20">
        <f t="shared" si="5"/>
        <v>4889.4</v>
      </c>
      <c r="AH12" s="20">
        <f t="shared" si="5"/>
        <v>4659.3</v>
      </c>
      <c r="AI12" s="20">
        <f t="shared" si="5"/>
        <v>5638.1</v>
      </c>
      <c r="AJ12" s="20">
        <f t="shared" si="5"/>
        <v>5756.8</v>
      </c>
      <c r="AK12" s="20">
        <f t="shared" si="5"/>
        <v>5744.9</v>
      </c>
      <c r="AL12" s="20">
        <f t="shared" si="5"/>
        <v>5298.7</v>
      </c>
      <c r="AM12" s="20">
        <f t="shared" si="5"/>
        <v>5212.2</v>
      </c>
      <c r="AN12" s="20">
        <f t="shared" si="5"/>
        <v>5260.6</v>
      </c>
      <c r="AO12" s="20">
        <f t="shared" si="5"/>
        <v>5829.9</v>
      </c>
      <c r="AP12" s="20">
        <f t="shared" si="5"/>
        <v>5620.1</v>
      </c>
      <c r="AQ12" s="20">
        <f t="shared" si="5"/>
        <v>5778.1</v>
      </c>
      <c r="AR12" s="20">
        <f t="shared" si="5"/>
        <v>6005.2</v>
      </c>
      <c r="AS12" s="20">
        <f t="shared" si="5"/>
        <v>5323.5</v>
      </c>
      <c r="AT12" s="20">
        <f t="shared" si="5"/>
        <v>5102.5</v>
      </c>
      <c r="AU12" s="20">
        <f t="shared" si="5"/>
        <v>6050.1</v>
      </c>
      <c r="AV12" s="20">
        <f t="shared" si="5"/>
        <v>6327.3</v>
      </c>
      <c r="AW12" s="20">
        <f t="shared" si="5"/>
        <v>6326.4</v>
      </c>
      <c r="AX12" s="20">
        <f t="shared" si="5"/>
        <v>5891</v>
      </c>
      <c r="AY12" s="21"/>
      <c r="AZ12" s="22">
        <f t="shared" si="2"/>
        <v>62853</v>
      </c>
      <c r="BA12" s="22">
        <f t="shared" si="3"/>
        <v>68726.9</v>
      </c>
      <c r="BB12" s="22">
        <f t="shared" si="4"/>
        <v>72850.514</v>
      </c>
    </row>
    <row r="13" ht="15" customHeight="1">
      <c r="B13" s="18" t="s">
        <v>15</v>
      </c>
      <c r="C13" s="15">
        <v>-1587.5</v>
      </c>
      <c r="D13" s="15">
        <v>-1673.3</v>
      </c>
      <c r="E13" s="15">
        <v>-1892.9</v>
      </c>
      <c r="F13" s="15">
        <v>-1694.1</v>
      </c>
      <c r="G13" s="15">
        <v>-1765.3</v>
      </c>
      <c r="H13" s="15">
        <v>-1842.2</v>
      </c>
      <c r="I13" s="15">
        <v>-1602</v>
      </c>
      <c r="J13" s="15">
        <v>-1590</v>
      </c>
      <c r="K13" s="15">
        <v>-1903.5</v>
      </c>
      <c r="L13" s="15">
        <v>-1942.3</v>
      </c>
      <c r="M13" s="15">
        <v>-1880.1</v>
      </c>
      <c r="N13" s="15">
        <v>-1791.2</v>
      </c>
      <c r="O13" s="15">
        <v>-1738.8</v>
      </c>
      <c r="P13" s="15">
        <v>-1823.5</v>
      </c>
      <c r="Q13" s="15">
        <v>-2037.6</v>
      </c>
      <c r="R13" s="15">
        <v>-1926.3</v>
      </c>
      <c r="S13" s="15">
        <v>-1978.9</v>
      </c>
      <c r="T13" s="15">
        <v>-2108.3</v>
      </c>
      <c r="U13" s="15">
        <v>-1826.2</v>
      </c>
      <c r="V13" s="15">
        <v>-1672.3</v>
      </c>
      <c r="W13" s="15">
        <v>-2179</v>
      </c>
      <c r="X13" s="15">
        <v>-2174.8</v>
      </c>
      <c r="Y13" s="15">
        <v>-2247.2</v>
      </c>
      <c r="Z13" s="15">
        <v>-2019.3</v>
      </c>
      <c r="AA13" s="15">
        <v>-1884.4</v>
      </c>
      <c r="AB13" s="15">
        <v>-1909.8</v>
      </c>
      <c r="AC13" s="15">
        <v>-2091.1</v>
      </c>
      <c r="AD13" s="15">
        <v>-2119.2</v>
      </c>
      <c r="AE13" s="15">
        <v>-2044.5</v>
      </c>
      <c r="AF13" s="15">
        <v>-2159</v>
      </c>
      <c r="AG13" s="15">
        <v>-1914.3</v>
      </c>
      <c r="AH13" s="15">
        <v>-1815</v>
      </c>
      <c r="AI13" s="15">
        <v>-2221</v>
      </c>
      <c r="AJ13" s="15">
        <v>-2217</v>
      </c>
      <c r="AK13" s="15">
        <v>-2200.1</v>
      </c>
      <c r="AL13" s="15">
        <v>-2048.5</v>
      </c>
      <c r="AM13" s="15">
        <v>-2004.3</v>
      </c>
      <c r="AN13" s="15">
        <v>-2058.4</v>
      </c>
      <c r="AO13" s="15">
        <v>-2221.8</v>
      </c>
      <c r="AP13" s="15">
        <v>-2272.4</v>
      </c>
      <c r="AQ13" s="15">
        <v>-2290</v>
      </c>
      <c r="AR13" s="15">
        <v>-2297.6</v>
      </c>
      <c r="AS13" s="15">
        <v>-2048.7</v>
      </c>
      <c r="AT13" s="15">
        <v>-1973.9</v>
      </c>
      <c r="AU13" s="15">
        <v>-2339.2</v>
      </c>
      <c r="AV13" s="15">
        <v>-2399.7</v>
      </c>
      <c r="AW13" s="15">
        <v>-2522.9</v>
      </c>
      <c r="AX13" s="15">
        <v>-2368.8</v>
      </c>
      <c r="AY13" s="16"/>
      <c r="AZ13" s="17">
        <f t="shared" si="2"/>
        <v>-24623.9</v>
      </c>
      <c r="BA13" s="17">
        <f t="shared" si="3"/>
        <v>-26797.7</v>
      </c>
      <c r="BB13" s="17">
        <f t="shared" si="4"/>
        <v>-28405.562</v>
      </c>
    </row>
    <row r="14" ht="15" customHeight="1">
      <c r="B14" s="19" t="s">
        <v>16</v>
      </c>
      <c r="C14" s="20">
        <f t="shared" si="5"/>
        <v>2230.9</v>
      </c>
      <c r="D14" s="20">
        <f t="shared" si="5"/>
        <v>2210.7</v>
      </c>
      <c r="E14" s="20">
        <f t="shared" si="5"/>
        <v>2485.4</v>
      </c>
      <c r="F14" s="20">
        <f t="shared" si="5"/>
        <v>2462.7</v>
      </c>
      <c r="G14" s="20">
        <f t="shared" si="5"/>
        <v>2565</v>
      </c>
      <c r="H14" s="20">
        <f t="shared" si="5"/>
        <v>2665.8</v>
      </c>
      <c r="I14" s="20">
        <f t="shared" si="5"/>
        <v>2324</v>
      </c>
      <c r="J14" s="20">
        <f t="shared" si="5"/>
        <v>2242.8</v>
      </c>
      <c r="K14" s="20">
        <f t="shared" si="5"/>
        <v>2658.5</v>
      </c>
      <c r="L14" s="20">
        <f t="shared" si="5"/>
        <v>2830.7</v>
      </c>
      <c r="M14" s="20">
        <f t="shared" si="5"/>
        <v>2836.3</v>
      </c>
      <c r="N14" s="20">
        <f t="shared" si="5"/>
        <v>2575.3</v>
      </c>
      <c r="O14" s="20">
        <f t="shared" si="5"/>
        <v>2522</v>
      </c>
      <c r="P14" s="20">
        <f t="shared" si="5"/>
        <v>2589.3</v>
      </c>
      <c r="Q14" s="20">
        <f t="shared" si="5"/>
        <v>2769.4</v>
      </c>
      <c r="R14" s="20">
        <f t="shared" si="5"/>
        <v>2709.8</v>
      </c>
      <c r="S14" s="20">
        <f t="shared" si="5"/>
        <v>2851.3</v>
      </c>
      <c r="T14" s="20">
        <f t="shared" si="5"/>
        <v>3008.9</v>
      </c>
      <c r="U14" s="20">
        <f t="shared" si="5"/>
        <v>2595.4</v>
      </c>
      <c r="V14" s="20">
        <f t="shared" si="5"/>
        <v>2569.3</v>
      </c>
      <c r="W14" s="20">
        <f t="shared" si="5"/>
        <v>3031.9</v>
      </c>
      <c r="X14" s="20">
        <f t="shared" si="5"/>
        <v>3078.3</v>
      </c>
      <c r="Y14" s="20">
        <f t="shared" si="5"/>
        <v>3154</v>
      </c>
      <c r="Z14" s="20">
        <f t="shared" si="5"/>
        <v>2868.3</v>
      </c>
      <c r="AA14" s="20">
        <f t="shared" si="5"/>
        <v>2817.4</v>
      </c>
      <c r="AB14" s="20">
        <f t="shared" si="5"/>
        <v>2861.2</v>
      </c>
      <c r="AC14" s="20">
        <f t="shared" si="5"/>
        <v>3255.4</v>
      </c>
      <c r="AD14" s="20">
        <f t="shared" si="5"/>
        <v>3104.3</v>
      </c>
      <c r="AE14" s="20">
        <f t="shared" si="5"/>
        <v>3216.2</v>
      </c>
      <c r="AF14" s="20">
        <f t="shared" si="5"/>
        <v>3403.3</v>
      </c>
      <c r="AG14" s="20">
        <f t="shared" si="5"/>
        <v>2975.1</v>
      </c>
      <c r="AH14" s="20">
        <f t="shared" si="5"/>
        <v>2844.3</v>
      </c>
      <c r="AI14" s="20">
        <f t="shared" si="5"/>
        <v>3417.1</v>
      </c>
      <c r="AJ14" s="20">
        <f t="shared" si="5"/>
        <v>3539.8</v>
      </c>
      <c r="AK14" s="20">
        <f t="shared" si="5"/>
        <v>3544.8</v>
      </c>
      <c r="AL14" s="20">
        <f t="shared" si="5"/>
        <v>3250.2</v>
      </c>
      <c r="AM14" s="20">
        <f t="shared" si="5"/>
        <v>3207.9</v>
      </c>
      <c r="AN14" s="20">
        <f t="shared" si="5"/>
        <v>3202.2</v>
      </c>
      <c r="AO14" s="20">
        <f t="shared" si="5"/>
        <v>3608.1</v>
      </c>
      <c r="AP14" s="20">
        <f t="shared" si="5"/>
        <v>3347.7</v>
      </c>
      <c r="AQ14" s="20">
        <f t="shared" si="5"/>
        <v>3488.1</v>
      </c>
      <c r="AR14" s="20">
        <f t="shared" si="5"/>
        <v>3707.6</v>
      </c>
      <c r="AS14" s="20">
        <f t="shared" si="5"/>
        <v>3274.8</v>
      </c>
      <c r="AT14" s="20">
        <f t="shared" si="5"/>
        <v>3128.6</v>
      </c>
      <c r="AU14" s="20">
        <f t="shared" si="5"/>
        <v>3710.9</v>
      </c>
      <c r="AV14" s="20">
        <f t="shared" si="5"/>
        <v>3927.6</v>
      </c>
      <c r="AW14" s="20">
        <f t="shared" si="5"/>
        <v>3803.5</v>
      </c>
      <c r="AX14" s="20">
        <f t="shared" si="5"/>
        <v>3522.2</v>
      </c>
      <c r="AY14" s="21"/>
      <c r="AZ14" s="22">
        <f t="shared" si="2"/>
        <v>38229.1</v>
      </c>
      <c r="BA14" s="22">
        <f t="shared" si="3"/>
        <v>41929.2</v>
      </c>
      <c r="BB14" s="22">
        <f t="shared" si="4"/>
        <v>44444.952</v>
      </c>
    </row>
    <row r="15" ht="15" customHeight="1">
      <c r="B15" s="23" t="s">
        <v>17</v>
      </c>
      <c r="C15" s="24">
        <f t="shared" si="6" ref="C15:BB15">_xlfn.IFERROR(C14/C12,0)</f>
        <v>0.584249947622041</v>
      </c>
      <c r="D15" s="24">
        <f t="shared" si="6"/>
        <v>0.569181256436663</v>
      </c>
      <c r="E15" s="24">
        <f t="shared" si="6"/>
        <v>0.567663248292716</v>
      </c>
      <c r="F15" s="24">
        <f t="shared" si="6"/>
        <v>0.592450923787529</v>
      </c>
      <c r="G15" s="24">
        <f t="shared" si="6"/>
        <v>0.592337713322403</v>
      </c>
      <c r="H15" s="24">
        <f t="shared" si="6"/>
        <v>0.591348713398403</v>
      </c>
      <c r="I15" s="24">
        <f t="shared" si="6"/>
        <v>0.591951095262354</v>
      </c>
      <c r="J15" s="24">
        <f t="shared" si="6"/>
        <v>0.58515967438948</v>
      </c>
      <c r="K15" s="24">
        <f t="shared" si="6"/>
        <v>0.582748794388426</v>
      </c>
      <c r="L15" s="24">
        <f t="shared" si="6"/>
        <v>0.593065158181437</v>
      </c>
      <c r="M15" s="24">
        <f t="shared" si="6"/>
        <v>0.601369688745654</v>
      </c>
      <c r="N15" s="24">
        <f t="shared" si="6"/>
        <v>0.589785869689683</v>
      </c>
      <c r="O15" s="24">
        <f t="shared" si="6"/>
        <v>0.5919076229816</v>
      </c>
      <c r="P15" s="24">
        <f t="shared" si="6"/>
        <v>0.586770304568528</v>
      </c>
      <c r="Q15" s="24">
        <f t="shared" si="6"/>
        <v>0.576118161015186</v>
      </c>
      <c r="R15" s="24">
        <f t="shared" si="6"/>
        <v>0.584499902935657</v>
      </c>
      <c r="S15" s="24">
        <f t="shared" si="6"/>
        <v>0.590306819593392</v>
      </c>
      <c r="T15" s="24">
        <f t="shared" si="6"/>
        <v>0.587997342296569</v>
      </c>
      <c r="U15" s="24">
        <f t="shared" si="6"/>
        <v>0.58698208793197</v>
      </c>
      <c r="V15" s="24">
        <f t="shared" si="6"/>
        <v>0.605738400603546</v>
      </c>
      <c r="W15" s="24">
        <f t="shared" si="6"/>
        <v>0.581838070199006</v>
      </c>
      <c r="X15" s="24">
        <f t="shared" si="6"/>
        <v>0.585996839961166</v>
      </c>
      <c r="Y15" s="24">
        <f t="shared" si="6"/>
        <v>0.583944308672147</v>
      </c>
      <c r="Z15" s="24">
        <f t="shared" si="6"/>
        <v>0.586852442916769</v>
      </c>
      <c r="AA15" s="24">
        <f t="shared" si="6"/>
        <v>0.59921732102599</v>
      </c>
      <c r="AB15" s="24">
        <f t="shared" si="6"/>
        <v>0.599706560469503</v>
      </c>
      <c r="AC15" s="24">
        <f t="shared" si="6"/>
        <v>0.608884316842794</v>
      </c>
      <c r="AD15" s="24">
        <f t="shared" si="6"/>
        <v>0.59429501292237</v>
      </c>
      <c r="AE15" s="24">
        <f t="shared" si="6"/>
        <v>0.611363506757656</v>
      </c>
      <c r="AF15" s="24">
        <f t="shared" si="6"/>
        <v>0.61185121262787</v>
      </c>
      <c r="AG15" s="24">
        <f t="shared" si="6"/>
        <v>0.608479568045159</v>
      </c>
      <c r="AH15" s="24">
        <f t="shared" si="6"/>
        <v>0.610456506342154</v>
      </c>
      <c r="AI15" s="24">
        <f t="shared" si="6"/>
        <v>0.606072967843777</v>
      </c>
      <c r="AJ15" s="24">
        <f t="shared" si="6"/>
        <v>0.614890216787104</v>
      </c>
      <c r="AK15" s="24">
        <f t="shared" si="6"/>
        <v>0.617034239064214</v>
      </c>
      <c r="AL15" s="24">
        <f t="shared" si="6"/>
        <v>0.613395738577387</v>
      </c>
      <c r="AM15" s="24">
        <f t="shared" si="6"/>
        <v>0.61545988258317</v>
      </c>
      <c r="AN15" s="24">
        <f t="shared" si="6"/>
        <v>0.608713834923773</v>
      </c>
      <c r="AO15" s="24">
        <f t="shared" si="6"/>
        <v>0.618895692893532</v>
      </c>
      <c r="AP15" s="24">
        <f t="shared" si="6"/>
        <v>0.595665557552357</v>
      </c>
      <c r="AQ15" s="24">
        <f t="shared" si="6"/>
        <v>0.603675948841315</v>
      </c>
      <c r="AR15" s="24">
        <f t="shared" si="6"/>
        <v>0.6173982548458</v>
      </c>
      <c r="AS15" s="24">
        <f t="shared" si="6"/>
        <v>0.615159199774584</v>
      </c>
      <c r="AT15" s="24">
        <f t="shared" si="6"/>
        <v>0.613150416462518</v>
      </c>
      <c r="AU15" s="24">
        <f t="shared" si="6"/>
        <v>0.613361762615494</v>
      </c>
      <c r="AV15" s="24">
        <f t="shared" si="6"/>
        <v>0.620738703712484</v>
      </c>
      <c r="AW15" s="24">
        <f t="shared" si="6"/>
        <v>0.601210799190693</v>
      </c>
      <c r="AX15" s="24">
        <f t="shared" si="6"/>
        <v>0.597895094211509</v>
      </c>
      <c r="AY15" s="25"/>
      <c r="AZ15" s="26">
        <f t="shared" si="6"/>
        <v>0.608230315179864</v>
      </c>
      <c r="BA15" s="26">
        <f t="shared" si="6"/>
        <v>0.610084261038982</v>
      </c>
      <c r="BB15" s="26">
        <f t="shared" si="6"/>
        <v>0.610084261038982</v>
      </c>
    </row>
    <row r="16" ht="15" customHeight="1">
      <c r="B16" s="18" t="s">
        <v>18</v>
      </c>
      <c r="C16" s="15">
        <v>-818.4</v>
      </c>
      <c r="D16" s="15">
        <v>-832.5</v>
      </c>
      <c r="E16" s="15">
        <v>-902.2</v>
      </c>
      <c r="F16" s="15">
        <v>-856.5</v>
      </c>
      <c r="G16" s="15">
        <v>-911.5</v>
      </c>
      <c r="H16" s="15">
        <v>-940.4</v>
      </c>
      <c r="I16" s="15">
        <v>-861.5</v>
      </c>
      <c r="J16" s="15">
        <v>-789.2</v>
      </c>
      <c r="K16" s="15">
        <v>-925.3</v>
      </c>
      <c r="L16" s="15">
        <v>-1053.8</v>
      </c>
      <c r="M16" s="15">
        <v>-1000.4</v>
      </c>
      <c r="N16" s="15">
        <v>-891.9</v>
      </c>
      <c r="O16" s="15">
        <v>-902.1</v>
      </c>
      <c r="P16" s="15">
        <v>-888.1</v>
      </c>
      <c r="Q16" s="15">
        <v>-1013</v>
      </c>
      <c r="R16" s="15">
        <v>-1016.1</v>
      </c>
      <c r="S16" s="15">
        <v>-1046.1</v>
      </c>
      <c r="T16" s="15">
        <v>-1089.8</v>
      </c>
      <c r="U16" s="15">
        <v>-902.7</v>
      </c>
      <c r="V16" s="15">
        <v>-873.2</v>
      </c>
      <c r="W16" s="15">
        <v>-1050.9</v>
      </c>
      <c r="X16" s="15">
        <v>-1119.1</v>
      </c>
      <c r="Y16" s="15">
        <v>-1123.8</v>
      </c>
      <c r="Z16" s="15">
        <v>-1038.4</v>
      </c>
      <c r="AA16" s="15">
        <v>-956.7</v>
      </c>
      <c r="AB16" s="15">
        <v>-959.3</v>
      </c>
      <c r="AC16" s="15">
        <v>-1133.6</v>
      </c>
      <c r="AD16" s="15">
        <v>-1123</v>
      </c>
      <c r="AE16" s="15">
        <v>-1115.9</v>
      </c>
      <c r="AF16" s="15">
        <v>-1172.8</v>
      </c>
      <c r="AG16" s="15">
        <v>-1030.4</v>
      </c>
      <c r="AH16" s="15">
        <v>-973.3</v>
      </c>
      <c r="AI16" s="15">
        <v>-1120.9</v>
      </c>
      <c r="AJ16" s="15">
        <v>-1174.2</v>
      </c>
      <c r="AK16" s="15">
        <v>-1152.3</v>
      </c>
      <c r="AL16" s="15">
        <v>-1028.3</v>
      </c>
      <c r="AM16" s="15">
        <v>-1009.7</v>
      </c>
      <c r="AN16" s="15">
        <v>-1042.2</v>
      </c>
      <c r="AO16" s="15">
        <v>-1150.8</v>
      </c>
      <c r="AP16" s="15">
        <v>-1153.2</v>
      </c>
      <c r="AQ16" s="15">
        <v>-1212.1</v>
      </c>
      <c r="AR16" s="15">
        <v>-1200.5</v>
      </c>
      <c r="AS16" s="15">
        <v>-1111.1</v>
      </c>
      <c r="AT16" s="15">
        <v>-1067.9</v>
      </c>
      <c r="AU16" s="15">
        <v>-1260.4</v>
      </c>
      <c r="AV16" s="15">
        <v>-1246.5</v>
      </c>
      <c r="AW16" s="15">
        <v>-1227.3</v>
      </c>
      <c r="AX16" s="15">
        <v>-1141.6</v>
      </c>
      <c r="AY16" s="16"/>
      <c r="AZ16" s="17">
        <f t="shared" si="2"/>
        <v>-12940.7</v>
      </c>
      <c r="BA16" s="17">
        <f t="shared" si="3"/>
        <v>-13823.3</v>
      </c>
      <c r="BB16" s="17">
        <f t="shared" si="4"/>
        <v>-14652.698</v>
      </c>
    </row>
    <row r="17" ht="15" customHeight="1">
      <c r="B17" s="18" t="s">
        <v>19</v>
      </c>
      <c r="C17" s="15">
        <v>-210.6</v>
      </c>
      <c r="D17" s="15">
        <v>-214.4</v>
      </c>
      <c r="E17" s="15">
        <v>-270.5</v>
      </c>
      <c r="F17" s="15">
        <v>-274.7</v>
      </c>
      <c r="G17" s="15">
        <v>-281.6</v>
      </c>
      <c r="H17" s="15">
        <v>-266.8</v>
      </c>
      <c r="I17" s="15">
        <v>-242.8</v>
      </c>
      <c r="J17" s="15">
        <v>-245.5</v>
      </c>
      <c r="K17" s="15">
        <v>-240.3</v>
      </c>
      <c r="L17" s="15">
        <v>-294.3</v>
      </c>
      <c r="M17" s="15">
        <v>-308.9</v>
      </c>
      <c r="N17" s="15">
        <v>-276.7</v>
      </c>
      <c r="O17" s="15">
        <v>-267.5</v>
      </c>
      <c r="P17" s="15">
        <v>-257.7</v>
      </c>
      <c r="Q17" s="15">
        <v>-257.8</v>
      </c>
      <c r="R17" s="15">
        <v>-292.4</v>
      </c>
      <c r="S17" s="15">
        <v>-269.8</v>
      </c>
      <c r="T17" s="15">
        <v>-322.7</v>
      </c>
      <c r="U17" s="15">
        <v>-290.1</v>
      </c>
      <c r="V17" s="15">
        <v>-239.9</v>
      </c>
      <c r="W17" s="15">
        <v>-294.7</v>
      </c>
      <c r="X17" s="15">
        <v>-340.8</v>
      </c>
      <c r="Y17" s="15">
        <v>-331.4</v>
      </c>
      <c r="Z17" s="15">
        <v>-257.6</v>
      </c>
      <c r="AA17" s="15">
        <v>-244.3</v>
      </c>
      <c r="AB17" s="15">
        <v>-249.2</v>
      </c>
      <c r="AC17" s="15">
        <v>-340.6</v>
      </c>
      <c r="AD17" s="15">
        <v>-324.4</v>
      </c>
      <c r="AE17" s="15">
        <v>-273.1</v>
      </c>
      <c r="AF17" s="15">
        <v>-346</v>
      </c>
      <c r="AG17" s="15">
        <v>-315</v>
      </c>
      <c r="AH17" s="15">
        <v>-276.9</v>
      </c>
      <c r="AI17" s="15">
        <v>-308.2</v>
      </c>
      <c r="AJ17" s="15">
        <v>-331.4</v>
      </c>
      <c r="AK17" s="15">
        <v>-293.9</v>
      </c>
      <c r="AL17" s="15">
        <v>-261.2</v>
      </c>
      <c r="AM17" s="15">
        <v>-331.7</v>
      </c>
      <c r="AN17" s="15">
        <v>-308.8</v>
      </c>
      <c r="AO17" s="15">
        <v>-330.9</v>
      </c>
      <c r="AP17" s="15">
        <v>-352.7</v>
      </c>
      <c r="AQ17" s="15">
        <v>-318.8</v>
      </c>
      <c r="AR17" s="15">
        <v>-370</v>
      </c>
      <c r="AS17" s="15">
        <v>-323.9</v>
      </c>
      <c r="AT17" s="15">
        <v>-263.2</v>
      </c>
      <c r="AU17" s="15">
        <v>-315.1</v>
      </c>
      <c r="AV17" s="15">
        <v>-332.9</v>
      </c>
      <c r="AW17" s="15">
        <v>-327.3</v>
      </c>
      <c r="AX17" s="15">
        <v>-334.4</v>
      </c>
      <c r="AY17" s="16"/>
      <c r="AZ17" s="17">
        <f t="shared" si="2"/>
        <v>-3564.2</v>
      </c>
      <c r="BA17" s="17">
        <f t="shared" si="3"/>
        <v>-3909.7</v>
      </c>
      <c r="BB17" s="17">
        <f t="shared" si="4"/>
        <v>-4144.282</v>
      </c>
    </row>
    <row r="18" ht="15" customHeight="1">
      <c r="B18" s="18" t="s">
        <v>20</v>
      </c>
      <c r="C18" s="15">
        <v>-143.5</v>
      </c>
      <c r="D18" s="15">
        <v>-152</v>
      </c>
      <c r="E18" s="15">
        <v>-158.5</v>
      </c>
      <c r="F18" s="15">
        <v>-182.4</v>
      </c>
      <c r="G18" s="15">
        <v>-165.8</v>
      </c>
      <c r="H18" s="15">
        <v>-177</v>
      </c>
      <c r="I18" s="15">
        <v>-158.8</v>
      </c>
      <c r="J18" s="15">
        <v>-166.9</v>
      </c>
      <c r="K18" s="15">
        <v>-176.6</v>
      </c>
      <c r="L18" s="15">
        <v>-207.9</v>
      </c>
      <c r="M18" s="15">
        <v>-185.7</v>
      </c>
      <c r="N18" s="15">
        <v>-172.9</v>
      </c>
      <c r="O18" s="15">
        <v>-168.1</v>
      </c>
      <c r="P18" s="15">
        <v>-152.1</v>
      </c>
      <c r="Q18" s="15">
        <v>-185.2</v>
      </c>
      <c r="R18" s="15">
        <v>-166.7</v>
      </c>
      <c r="S18" s="15">
        <v>-164.9</v>
      </c>
      <c r="T18" s="15">
        <v>-214</v>
      </c>
      <c r="U18" s="15">
        <v>-157.7</v>
      </c>
      <c r="V18" s="15">
        <v>-163.4</v>
      </c>
      <c r="W18" s="15">
        <v>-213.2</v>
      </c>
      <c r="X18" s="15">
        <v>-205.9</v>
      </c>
      <c r="Y18" s="15">
        <v>-199.3</v>
      </c>
      <c r="Z18" s="15">
        <v>-189.2</v>
      </c>
      <c r="AA18" s="15">
        <v>-183.4</v>
      </c>
      <c r="AB18" s="15">
        <v>-196.2</v>
      </c>
      <c r="AC18" s="15">
        <v>-184.8</v>
      </c>
      <c r="AD18" s="15">
        <v>-202.9</v>
      </c>
      <c r="AE18" s="15">
        <v>-188.4</v>
      </c>
      <c r="AF18" s="15">
        <v>-200.4</v>
      </c>
      <c r="AG18" s="15">
        <v>-198.9</v>
      </c>
      <c r="AH18" s="15">
        <v>-177.4</v>
      </c>
      <c r="AI18" s="15">
        <v>-217.3</v>
      </c>
      <c r="AJ18" s="15">
        <v>-232.3</v>
      </c>
      <c r="AK18" s="15">
        <v>-239.7</v>
      </c>
      <c r="AL18" s="15">
        <v>-197.2</v>
      </c>
      <c r="AM18" s="15">
        <v>-202.1</v>
      </c>
      <c r="AN18" s="15">
        <v>-198.2</v>
      </c>
      <c r="AO18" s="15">
        <v>-219.7</v>
      </c>
      <c r="AP18" s="15">
        <v>-220.9</v>
      </c>
      <c r="AQ18" s="15">
        <v>-213.8</v>
      </c>
      <c r="AR18" s="15">
        <v>-226.3</v>
      </c>
      <c r="AS18" s="15">
        <v>-197.6</v>
      </c>
      <c r="AT18" s="15">
        <v>-211</v>
      </c>
      <c r="AU18" s="15">
        <v>-236.2</v>
      </c>
      <c r="AV18" s="15">
        <v>-257</v>
      </c>
      <c r="AW18" s="15">
        <v>-260.3</v>
      </c>
      <c r="AX18" s="15">
        <v>-204.8</v>
      </c>
      <c r="AY18" s="16"/>
      <c r="AZ18" s="17">
        <f t="shared" si="2"/>
        <v>-2418.9</v>
      </c>
      <c r="BA18" s="17">
        <f t="shared" si="3"/>
        <v>-2647.9</v>
      </c>
      <c r="BB18" s="17">
        <f t="shared" si="4"/>
        <v>-2806.774</v>
      </c>
    </row>
    <row r="19" ht="15" customHeight="1">
      <c r="B19" s="18" t="s">
        <v>21</v>
      </c>
      <c r="C19" s="15">
        <v>-135.9</v>
      </c>
      <c r="D19" s="15">
        <v>-153</v>
      </c>
      <c r="E19" s="15">
        <v>-167.6</v>
      </c>
      <c r="F19" s="15">
        <v>-129.8</v>
      </c>
      <c r="G19" s="15">
        <v>-134.3</v>
      </c>
      <c r="H19" s="15">
        <v>-154</v>
      </c>
      <c r="I19" s="15">
        <v>-119.4</v>
      </c>
      <c r="J19" s="15">
        <v>-122.8</v>
      </c>
      <c r="K19" s="15">
        <v>-138.4</v>
      </c>
      <c r="L19" s="15">
        <v>-172.6</v>
      </c>
      <c r="M19" s="15">
        <v>-175.6</v>
      </c>
      <c r="N19" s="15">
        <v>-167.2</v>
      </c>
      <c r="O19" s="15">
        <v>-131.8</v>
      </c>
      <c r="P19" s="15">
        <v>-160.6</v>
      </c>
      <c r="Q19" s="15">
        <v>-172</v>
      </c>
      <c r="R19" s="15">
        <v>-142.2</v>
      </c>
      <c r="S19" s="15">
        <v>-182.7</v>
      </c>
      <c r="T19" s="15">
        <v>-197.5</v>
      </c>
      <c r="U19" s="15">
        <v>-138.3</v>
      </c>
      <c r="V19" s="15">
        <v>-162.5</v>
      </c>
      <c r="W19" s="15">
        <v>-171.4</v>
      </c>
      <c r="X19" s="15">
        <v>-177</v>
      </c>
      <c r="Y19" s="15">
        <v>-207.9</v>
      </c>
      <c r="Z19" s="15">
        <v>-180.4</v>
      </c>
      <c r="AA19" s="15">
        <v>-142.9</v>
      </c>
      <c r="AB19" s="15">
        <v>-157.2</v>
      </c>
      <c r="AC19" s="15">
        <v>-180.2</v>
      </c>
      <c r="AD19" s="15">
        <v>-166.9</v>
      </c>
      <c r="AE19" s="15">
        <v>-160.6</v>
      </c>
      <c r="AF19" s="15">
        <v>-176</v>
      </c>
      <c r="AG19" s="15">
        <v>-173.3</v>
      </c>
      <c r="AH19" s="15">
        <v>-133.7</v>
      </c>
      <c r="AI19" s="15">
        <v>-190.1</v>
      </c>
      <c r="AJ19" s="15">
        <v>-187.6</v>
      </c>
      <c r="AK19" s="15">
        <v>-164</v>
      </c>
      <c r="AL19" s="15">
        <v>-166.6</v>
      </c>
      <c r="AM19" s="15">
        <v>-178</v>
      </c>
      <c r="AN19" s="15">
        <v>-173.9</v>
      </c>
      <c r="AO19" s="15">
        <v>-167.7</v>
      </c>
      <c r="AP19" s="15">
        <v>-210</v>
      </c>
      <c r="AQ19" s="15">
        <v>-204.9</v>
      </c>
      <c r="AR19" s="15">
        <v>-222.9</v>
      </c>
      <c r="AS19" s="15">
        <v>-154.2</v>
      </c>
      <c r="AT19" s="15">
        <v>-155.1</v>
      </c>
      <c r="AU19" s="15">
        <v>-171</v>
      </c>
      <c r="AV19" s="15">
        <v>-221.9</v>
      </c>
      <c r="AW19" s="15">
        <v>-191.7</v>
      </c>
      <c r="AX19" s="15">
        <v>-170.5</v>
      </c>
      <c r="AY19" s="16"/>
      <c r="AZ19" s="17">
        <f t="shared" si="2"/>
        <v>-1999.1</v>
      </c>
      <c r="BA19" s="17">
        <f t="shared" si="3"/>
        <v>-2221.8</v>
      </c>
      <c r="BB19" s="17">
        <f t="shared" si="4"/>
        <v>-2355.108</v>
      </c>
    </row>
    <row r="20" ht="15" customHeight="1">
      <c r="B20" s="19" t="s">
        <v>22</v>
      </c>
      <c r="C20" s="20">
        <f t="shared" si="7" ref="C20:BB90">SUM(C16:C19)</f>
        <v>-1308.4</v>
      </c>
      <c r="D20" s="20">
        <f t="shared" si="7"/>
        <v>-1351.9</v>
      </c>
      <c r="E20" s="20">
        <f t="shared" si="7"/>
        <v>-1498.8</v>
      </c>
      <c r="F20" s="20">
        <f t="shared" si="7"/>
        <v>-1443.4</v>
      </c>
      <c r="G20" s="20">
        <f t="shared" si="7"/>
        <v>-1493.2</v>
      </c>
      <c r="H20" s="20">
        <f t="shared" si="7"/>
        <v>-1538.2</v>
      </c>
      <c r="I20" s="20">
        <f t="shared" si="7"/>
        <v>-1382.5</v>
      </c>
      <c r="J20" s="20">
        <f t="shared" si="7"/>
        <v>-1324.4</v>
      </c>
      <c r="K20" s="20">
        <f t="shared" si="7"/>
        <v>-1480.6</v>
      </c>
      <c r="L20" s="20">
        <f t="shared" si="7"/>
        <v>-1728.6</v>
      </c>
      <c r="M20" s="20">
        <f t="shared" si="7"/>
        <v>-1670.6</v>
      </c>
      <c r="N20" s="20">
        <f t="shared" si="7"/>
        <v>-1508.7</v>
      </c>
      <c r="O20" s="20">
        <f t="shared" si="7"/>
        <v>-1469.5</v>
      </c>
      <c r="P20" s="20">
        <f t="shared" si="7"/>
        <v>-1458.5</v>
      </c>
      <c r="Q20" s="20">
        <f t="shared" si="7"/>
        <v>-1628</v>
      </c>
      <c r="R20" s="20">
        <f t="shared" si="7"/>
        <v>-1617.4</v>
      </c>
      <c r="S20" s="20">
        <f t="shared" si="7"/>
        <v>-1663.5</v>
      </c>
      <c r="T20" s="20">
        <f t="shared" si="7"/>
        <v>-1824</v>
      </c>
      <c r="U20" s="20">
        <f t="shared" si="7"/>
        <v>-1488.8</v>
      </c>
      <c r="V20" s="20">
        <f t="shared" si="7"/>
        <v>-1439</v>
      </c>
      <c r="W20" s="20">
        <f t="shared" si="7"/>
        <v>-1730.2</v>
      </c>
      <c r="X20" s="20">
        <f t="shared" si="7"/>
        <v>-1842.8</v>
      </c>
      <c r="Y20" s="20">
        <f t="shared" si="7"/>
        <v>-1862.4</v>
      </c>
      <c r="Z20" s="20">
        <f t="shared" si="7"/>
        <v>-1665.6</v>
      </c>
      <c r="AA20" s="20">
        <f t="shared" si="7"/>
        <v>-1527.3</v>
      </c>
      <c r="AB20" s="20">
        <f t="shared" si="7"/>
        <v>-1561.9</v>
      </c>
      <c r="AC20" s="20">
        <f t="shared" si="7"/>
        <v>-1839.2</v>
      </c>
      <c r="AD20" s="20">
        <f t="shared" si="7"/>
        <v>-1817.2</v>
      </c>
      <c r="AE20" s="20">
        <f t="shared" si="7"/>
        <v>-1738</v>
      </c>
      <c r="AF20" s="20">
        <f t="shared" si="7"/>
        <v>-1895.2</v>
      </c>
      <c r="AG20" s="20">
        <f t="shared" si="7"/>
        <v>-1717.6</v>
      </c>
      <c r="AH20" s="20">
        <f t="shared" si="7"/>
        <v>-1561.3</v>
      </c>
      <c r="AI20" s="20">
        <f t="shared" si="7"/>
        <v>-1836.5</v>
      </c>
      <c r="AJ20" s="20">
        <f t="shared" si="7"/>
        <v>-1925.5</v>
      </c>
      <c r="AK20" s="20">
        <f t="shared" si="7"/>
        <v>-1849.9</v>
      </c>
      <c r="AL20" s="20">
        <f t="shared" si="7"/>
        <v>-1653.3</v>
      </c>
      <c r="AM20" s="20">
        <f t="shared" si="7"/>
        <v>-1721.5</v>
      </c>
      <c r="AN20" s="20">
        <f t="shared" si="7"/>
        <v>-1723.1</v>
      </c>
      <c r="AO20" s="20">
        <f t="shared" si="7"/>
        <v>-1869.1</v>
      </c>
      <c r="AP20" s="20">
        <f t="shared" si="7"/>
        <v>-1936.8</v>
      </c>
      <c r="AQ20" s="20">
        <f t="shared" si="7"/>
        <v>-1949.6</v>
      </c>
      <c r="AR20" s="20">
        <f t="shared" si="7"/>
        <v>-2019.7</v>
      </c>
      <c r="AS20" s="20">
        <f t="shared" si="7"/>
        <v>-1786.8</v>
      </c>
      <c r="AT20" s="20">
        <f t="shared" si="7"/>
        <v>-1697.2</v>
      </c>
      <c r="AU20" s="20">
        <f t="shared" si="7"/>
        <v>-1982.7</v>
      </c>
      <c r="AV20" s="20">
        <f t="shared" si="7"/>
        <v>-2058.3</v>
      </c>
      <c r="AW20" s="20">
        <f t="shared" si="7"/>
        <v>-2006.6</v>
      </c>
      <c r="AX20" s="20">
        <f t="shared" si="7"/>
        <v>-1851.3</v>
      </c>
      <c r="AY20" s="21"/>
      <c r="AZ20" s="22">
        <f t="shared" si="2"/>
        <v>-20922.9</v>
      </c>
      <c r="BA20" s="22">
        <f t="shared" si="3"/>
        <v>-22602.7</v>
      </c>
      <c r="BB20" s="22">
        <f t="shared" si="4"/>
        <v>-23958.862</v>
      </c>
    </row>
    <row r="21" ht="15" customHeight="1">
      <c r="B21" s="23" t="s">
        <v>23</v>
      </c>
      <c r="C21" s="24">
        <f t="shared" si="8" ref="C21:BB21">_xlfn.IFERROR(-C20/C12,0)</f>
        <v>0.342656610098471</v>
      </c>
      <c r="D21" s="24">
        <f t="shared" si="8"/>
        <v>0.348069001029866</v>
      </c>
      <c r="E21" s="24">
        <f t="shared" si="8"/>
        <v>0.342324646552315</v>
      </c>
      <c r="F21" s="24">
        <f t="shared" si="8"/>
        <v>0.347238260200154</v>
      </c>
      <c r="G21" s="24">
        <f t="shared" si="8"/>
        <v>0.344825993580121</v>
      </c>
      <c r="H21" s="24">
        <f t="shared" si="8"/>
        <v>0.341215616681455</v>
      </c>
      <c r="I21" s="24">
        <f t="shared" si="8"/>
        <v>0.352139582272033</v>
      </c>
      <c r="J21" s="24">
        <f t="shared" si="8"/>
        <v>0.345543727823001</v>
      </c>
      <c r="K21" s="24">
        <f t="shared" si="8"/>
        <v>0.324550635686103</v>
      </c>
      <c r="L21" s="24">
        <f t="shared" si="8"/>
        <v>0.362162162162162</v>
      </c>
      <c r="M21" s="24">
        <f t="shared" si="8"/>
        <v>0.354210838775337</v>
      </c>
      <c r="N21" s="24">
        <f t="shared" si="8"/>
        <v>0.345517004465819</v>
      </c>
      <c r="O21" s="24">
        <f t="shared" si="8"/>
        <v>0.344888283890349</v>
      </c>
      <c r="P21" s="24">
        <f t="shared" si="8"/>
        <v>0.330515772298767</v>
      </c>
      <c r="Q21" s="24">
        <f t="shared" si="8"/>
        <v>0.338672768878719</v>
      </c>
      <c r="R21" s="24">
        <f t="shared" si="8"/>
        <v>0.348870818144561</v>
      </c>
      <c r="S21" s="24">
        <f t="shared" si="8"/>
        <v>0.344395677197632</v>
      </c>
      <c r="T21" s="24">
        <f t="shared" si="8"/>
        <v>0.356444930821543</v>
      </c>
      <c r="U21" s="24">
        <f t="shared" si="8"/>
        <v>0.336710692961824</v>
      </c>
      <c r="V21" s="24">
        <f t="shared" si="8"/>
        <v>0.339258770275368</v>
      </c>
      <c r="W21" s="24">
        <f t="shared" si="8"/>
        <v>0.332034773263736</v>
      </c>
      <c r="X21" s="24">
        <f t="shared" si="8"/>
        <v>0.350802383354591</v>
      </c>
      <c r="Y21" s="24">
        <f t="shared" si="8"/>
        <v>0.344812263941346</v>
      </c>
      <c r="Z21" s="24">
        <f t="shared" si="8"/>
        <v>0.340780751288976</v>
      </c>
      <c r="AA21" s="24">
        <f t="shared" si="8"/>
        <v>0.324833042664511</v>
      </c>
      <c r="AB21" s="24">
        <f t="shared" si="8"/>
        <v>0.327373716202054</v>
      </c>
      <c r="AC21" s="24">
        <f t="shared" si="8"/>
        <v>0.344000748152997</v>
      </c>
      <c r="AD21" s="24">
        <f t="shared" si="8"/>
        <v>0.347889346223796</v>
      </c>
      <c r="AE21" s="24">
        <f t="shared" si="8"/>
        <v>0.330374284790997</v>
      </c>
      <c r="AF21" s="24">
        <f t="shared" si="8"/>
        <v>0.340722363051256</v>
      </c>
      <c r="AG21" s="24">
        <f t="shared" si="8"/>
        <v>0.35129054689737</v>
      </c>
      <c r="AH21" s="24">
        <f t="shared" si="8"/>
        <v>0.335093254351512</v>
      </c>
      <c r="AI21" s="24">
        <f t="shared" si="8"/>
        <v>0.325730299214274</v>
      </c>
      <c r="AJ21" s="24">
        <f t="shared" si="8"/>
        <v>0.334474013340745</v>
      </c>
      <c r="AK21" s="24">
        <f t="shared" si="8"/>
        <v>0.322007345645703</v>
      </c>
      <c r="AL21" s="24">
        <f t="shared" si="8"/>
        <v>0.312019929416649</v>
      </c>
      <c r="AM21" s="24">
        <f t="shared" si="8"/>
        <v>0.330282798050727</v>
      </c>
      <c r="AN21" s="24">
        <f t="shared" si="8"/>
        <v>0.327548188419572</v>
      </c>
      <c r="AO21" s="24">
        <f t="shared" si="8"/>
        <v>0.320605842295751</v>
      </c>
      <c r="AP21" s="24">
        <f t="shared" si="8"/>
        <v>0.3446202024875</v>
      </c>
      <c r="AQ21" s="24">
        <f t="shared" si="8"/>
        <v>0.337411952025752</v>
      </c>
      <c r="AR21" s="24">
        <f t="shared" si="8"/>
        <v>0.336325184839806</v>
      </c>
      <c r="AS21" s="24">
        <f t="shared" si="8"/>
        <v>0.335643843336151</v>
      </c>
      <c r="AT21" s="24">
        <f t="shared" si="8"/>
        <v>0.332621264086232</v>
      </c>
      <c r="AU21" s="24">
        <f t="shared" si="8"/>
        <v>0.327713591510884</v>
      </c>
      <c r="AV21" s="24">
        <f t="shared" si="8"/>
        <v>0.325304632307619</v>
      </c>
      <c r="AW21" s="24">
        <f t="shared" si="8"/>
        <v>0.317178806272129</v>
      </c>
      <c r="AX21" s="24">
        <f t="shared" si="8"/>
        <v>0.314259039212358</v>
      </c>
      <c r="AY21" s="25"/>
      <c r="AZ21" s="26">
        <f t="shared" si="8"/>
        <v>0.332886258412486</v>
      </c>
      <c r="BA21" s="26">
        <f t="shared" si="8"/>
        <v>0.328877048142721</v>
      </c>
      <c r="BB21" s="26">
        <f t="shared" si="8"/>
        <v>0.328877048142721</v>
      </c>
    </row>
    <row r="22" ht="15" customHeight="1">
      <c r="B22" s="19" t="s">
        <v>24</v>
      </c>
      <c r="C22" s="20">
        <f t="shared" si="9" ref="C22:AX22">C14+C20</f>
        <v>922.5</v>
      </c>
      <c r="D22" s="20">
        <f t="shared" si="9"/>
        <v>858.8</v>
      </c>
      <c r="E22" s="20">
        <f t="shared" si="9"/>
        <v>986.6</v>
      </c>
      <c r="F22" s="20">
        <f t="shared" si="9"/>
        <v>1019.3</v>
      </c>
      <c r="G22" s="20">
        <f t="shared" si="9"/>
        <v>1071.8</v>
      </c>
      <c r="H22" s="20">
        <f t="shared" si="9"/>
        <v>1127.6</v>
      </c>
      <c r="I22" s="20">
        <f t="shared" si="9"/>
        <v>941.5</v>
      </c>
      <c r="J22" s="20">
        <f t="shared" si="9"/>
        <v>918.4</v>
      </c>
      <c r="K22" s="20">
        <f t="shared" si="9"/>
        <v>1177.9</v>
      </c>
      <c r="L22" s="20">
        <f t="shared" si="9"/>
        <v>1102.1</v>
      </c>
      <c r="M22" s="20">
        <f t="shared" si="9"/>
        <v>1165.7</v>
      </c>
      <c r="N22" s="20">
        <f t="shared" si="9"/>
        <v>1066.6</v>
      </c>
      <c r="O22" s="20">
        <f t="shared" si="9"/>
        <v>1052.5</v>
      </c>
      <c r="P22" s="20">
        <f t="shared" si="9"/>
        <v>1130.8</v>
      </c>
      <c r="Q22" s="20">
        <f t="shared" si="9"/>
        <v>1141.4</v>
      </c>
      <c r="R22" s="20">
        <f t="shared" si="9"/>
        <v>1092.4</v>
      </c>
      <c r="S22" s="20">
        <f t="shared" si="9"/>
        <v>1187.8</v>
      </c>
      <c r="T22" s="20">
        <f t="shared" si="9"/>
        <v>1184.9</v>
      </c>
      <c r="U22" s="20">
        <f t="shared" si="9"/>
        <v>1106.6</v>
      </c>
      <c r="V22" s="20">
        <f t="shared" si="9"/>
        <v>1130.3</v>
      </c>
      <c r="W22" s="20">
        <f t="shared" si="9"/>
        <v>1301.7</v>
      </c>
      <c r="X22" s="20">
        <f t="shared" si="9"/>
        <v>1235.5</v>
      </c>
      <c r="Y22" s="20">
        <f t="shared" si="9"/>
        <v>1291.6</v>
      </c>
      <c r="Z22" s="20">
        <f t="shared" si="9"/>
        <v>1202.7</v>
      </c>
      <c r="AA22" s="20">
        <f t="shared" si="9"/>
        <v>1290.1</v>
      </c>
      <c r="AB22" s="20">
        <f t="shared" si="9"/>
        <v>1299.3</v>
      </c>
      <c r="AC22" s="20">
        <f t="shared" si="9"/>
        <v>1416.2</v>
      </c>
      <c r="AD22" s="20">
        <f t="shared" si="9"/>
        <v>1287.1</v>
      </c>
      <c r="AE22" s="20">
        <f t="shared" si="9"/>
        <v>1478.2</v>
      </c>
      <c r="AF22" s="20">
        <f t="shared" si="9"/>
        <v>1508.1</v>
      </c>
      <c r="AG22" s="20">
        <f t="shared" si="9"/>
        <v>1257.5</v>
      </c>
      <c r="AH22" s="20">
        <f t="shared" si="9"/>
        <v>1283</v>
      </c>
      <c r="AI22" s="20">
        <f t="shared" si="9"/>
        <v>1580.6</v>
      </c>
      <c r="AJ22" s="20">
        <f t="shared" si="9"/>
        <v>1614.3</v>
      </c>
      <c r="AK22" s="20">
        <f t="shared" si="9"/>
        <v>1694.9</v>
      </c>
      <c r="AL22" s="20">
        <f t="shared" si="9"/>
        <v>1596.9</v>
      </c>
      <c r="AM22" s="20">
        <f t="shared" si="9"/>
        <v>1486.4</v>
      </c>
      <c r="AN22" s="20">
        <f t="shared" si="9"/>
        <v>1479.1</v>
      </c>
      <c r="AO22" s="20">
        <f t="shared" si="9"/>
        <v>1739</v>
      </c>
      <c r="AP22" s="20">
        <f t="shared" si="9"/>
        <v>1410.9</v>
      </c>
      <c r="AQ22" s="20">
        <f t="shared" si="9"/>
        <v>1538.5</v>
      </c>
      <c r="AR22" s="20">
        <f t="shared" si="9"/>
        <v>1687.9</v>
      </c>
      <c r="AS22" s="20">
        <f t="shared" si="9"/>
        <v>1488</v>
      </c>
      <c r="AT22" s="20">
        <f t="shared" si="9"/>
        <v>1431.4</v>
      </c>
      <c r="AU22" s="20">
        <f t="shared" si="9"/>
        <v>1728.2</v>
      </c>
      <c r="AV22" s="20">
        <f t="shared" si="9"/>
        <v>1869.3</v>
      </c>
      <c r="AW22" s="20">
        <f t="shared" si="9"/>
        <v>1796.9</v>
      </c>
      <c r="AX22" s="20">
        <f t="shared" si="9"/>
        <v>1670.9</v>
      </c>
      <c r="AY22" s="21"/>
      <c r="AZ22" s="22">
        <f t="shared" si="2"/>
        <v>17306.2</v>
      </c>
      <c r="BA22" s="22">
        <f t="shared" si="3"/>
        <v>19326.5</v>
      </c>
      <c r="BB22" s="22">
        <f t="shared" si="4"/>
        <v>20486.09</v>
      </c>
    </row>
    <row r="23" ht="15" customHeight="1">
      <c r="B23" s="23" t="s">
        <v>25</v>
      </c>
      <c r="C23" s="24">
        <f t="shared" si="10" ref="C23:BB23">_xlfn.IFERROR(C22/C12,0)</f>
        <v>0.24159333752357</v>
      </c>
      <c r="D23" s="24">
        <f t="shared" si="10"/>
        <v>0.221112255406797</v>
      </c>
      <c r="E23" s="24">
        <f t="shared" si="10"/>
        <v>0.225338601740402</v>
      </c>
      <c r="F23" s="24">
        <f t="shared" si="10"/>
        <v>0.245212663587375</v>
      </c>
      <c r="G23" s="24">
        <f t="shared" si="10"/>
        <v>0.247511719742281</v>
      </c>
      <c r="H23" s="24">
        <f t="shared" si="10"/>
        <v>0.250133096716948</v>
      </c>
      <c r="I23" s="24">
        <f t="shared" si="10"/>
        <v>0.239811512990321</v>
      </c>
      <c r="J23" s="24">
        <f t="shared" si="10"/>
        <v>0.239615946566479</v>
      </c>
      <c r="K23" s="24">
        <f t="shared" si="10"/>
        <v>0.258198158702324</v>
      </c>
      <c r="L23" s="24">
        <f t="shared" si="10"/>
        <v>0.230902996019275</v>
      </c>
      <c r="M23" s="24">
        <f t="shared" si="10"/>
        <v>0.247158849970316</v>
      </c>
      <c r="N23" s="24">
        <f t="shared" si="10"/>
        <v>0.244268865223863</v>
      </c>
      <c r="O23" s="24">
        <f t="shared" si="10"/>
        <v>0.24701933909125</v>
      </c>
      <c r="P23" s="24">
        <f t="shared" si="10"/>
        <v>0.256254532269761</v>
      </c>
      <c r="Q23" s="24">
        <f t="shared" si="10"/>
        <v>0.237445392136468</v>
      </c>
      <c r="R23" s="24">
        <f t="shared" si="10"/>
        <v>0.235629084791096</v>
      </c>
      <c r="S23" s="24">
        <f t="shared" si="10"/>
        <v>0.24591114239576</v>
      </c>
      <c r="T23" s="24">
        <f t="shared" si="10"/>
        <v>0.231552411475025</v>
      </c>
      <c r="U23" s="24">
        <f t="shared" si="10"/>
        <v>0.250271394970146</v>
      </c>
      <c r="V23" s="24">
        <f t="shared" si="10"/>
        <v>0.266479630328178</v>
      </c>
      <c r="W23" s="24">
        <f t="shared" si="10"/>
        <v>0.24980329693527</v>
      </c>
      <c r="X23" s="24">
        <f t="shared" si="10"/>
        <v>0.235194456606575</v>
      </c>
      <c r="Y23" s="24">
        <f t="shared" si="10"/>
        <v>0.239132044730801</v>
      </c>
      <c r="Z23" s="24">
        <f t="shared" si="10"/>
        <v>0.246071691627793</v>
      </c>
      <c r="AA23" s="24">
        <f t="shared" si="10"/>
        <v>0.274384278361479</v>
      </c>
      <c r="AB23" s="24">
        <f t="shared" si="10"/>
        <v>0.272332844267449</v>
      </c>
      <c r="AC23" s="24">
        <f t="shared" si="10"/>
        <v>0.264883568689797</v>
      </c>
      <c r="AD23" s="24">
        <f t="shared" si="10"/>
        <v>0.246405666698574</v>
      </c>
      <c r="AE23" s="24">
        <f t="shared" si="10"/>
        <v>0.280989221966658</v>
      </c>
      <c r="AF23" s="24">
        <f t="shared" si="10"/>
        <v>0.271128849576614</v>
      </c>
      <c r="AG23" s="24">
        <f t="shared" si="10"/>
        <v>0.257189021147789</v>
      </c>
      <c r="AH23" s="24">
        <f t="shared" si="10"/>
        <v>0.275363251990642</v>
      </c>
      <c r="AI23" s="24">
        <f t="shared" si="10"/>
        <v>0.280342668629503</v>
      </c>
      <c r="AJ23" s="24">
        <f t="shared" si="10"/>
        <v>0.280416203446359</v>
      </c>
      <c r="AK23" s="24">
        <f t="shared" si="10"/>
        <v>0.29502689341851</v>
      </c>
      <c r="AL23" s="24">
        <f t="shared" si="10"/>
        <v>0.301375809160738</v>
      </c>
      <c r="AM23" s="24">
        <f t="shared" si="10"/>
        <v>0.285177084532443</v>
      </c>
      <c r="AN23" s="24">
        <f t="shared" si="10"/>
        <v>0.281165646504201</v>
      </c>
      <c r="AO23" s="24">
        <f t="shared" si="10"/>
        <v>0.29828985059778</v>
      </c>
      <c r="AP23" s="24">
        <f t="shared" si="10"/>
        <v>0.251045355064856</v>
      </c>
      <c r="AQ23" s="24">
        <f t="shared" si="10"/>
        <v>0.266263996815562</v>
      </c>
      <c r="AR23" s="24">
        <f t="shared" si="10"/>
        <v>0.281073070005995</v>
      </c>
      <c r="AS23" s="24">
        <f t="shared" si="10"/>
        <v>0.279515356438433</v>
      </c>
      <c r="AT23" s="24">
        <f t="shared" si="10"/>
        <v>0.280529152376286</v>
      </c>
      <c r="AU23" s="24">
        <f t="shared" si="10"/>
        <v>0.28564817110461</v>
      </c>
      <c r="AV23" s="24">
        <f t="shared" si="10"/>
        <v>0.295434071404865</v>
      </c>
      <c r="AW23" s="24">
        <f t="shared" si="10"/>
        <v>0.284031992918564</v>
      </c>
      <c r="AX23" s="24">
        <f t="shared" si="10"/>
        <v>0.283636054999151</v>
      </c>
      <c r="AY23" s="25"/>
      <c r="AZ23" s="26">
        <f t="shared" si="10"/>
        <v>0.275344056767378</v>
      </c>
      <c r="BA23" s="26">
        <f t="shared" si="10"/>
        <v>0.28120721289626</v>
      </c>
      <c r="BB23" s="26">
        <f t="shared" si="10"/>
        <v>0.28120721289626</v>
      </c>
    </row>
    <row r="24" ht="15" customHeight="1">
      <c r="B24" s="18" t="s">
        <v>26</v>
      </c>
      <c r="C24" s="16">
        <v>0</v>
      </c>
      <c r="D24" s="16">
        <v>0</v>
      </c>
      <c r="E24" s="15">
        <v>246.7</v>
      </c>
      <c r="F24" s="15">
        <v>393.4</v>
      </c>
      <c r="G24" s="15">
        <v>365.7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5">
        <v>197.6</v>
      </c>
      <c r="R24" s="15">
        <v>164.8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5">
        <v>395.8</v>
      </c>
      <c r="AD24" s="15">
        <v>291.2</v>
      </c>
      <c r="AE24" s="15">
        <v>330.1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5">
        <v>146.8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/>
      <c r="AZ24" s="17">
        <f t="shared" si="2"/>
        <v>1017.1</v>
      </c>
      <c r="BA24" s="17">
        <f t="shared" si="3"/>
        <v>146.8</v>
      </c>
      <c r="BB24" s="17">
        <f t="shared" si="4"/>
        <v>155.608</v>
      </c>
    </row>
    <row r="25" ht="15" customHeight="1">
      <c r="B25" s="18" t="s">
        <v>27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5">
        <v>70.4</v>
      </c>
      <c r="I25" s="15">
        <v>183.9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5">
        <v>136.6</v>
      </c>
      <c r="T25" s="15">
        <v>73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5">
        <v>228.9</v>
      </c>
      <c r="AC25" s="15">
        <v>174.2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5">
        <v>204.3</v>
      </c>
      <c r="AN25" s="15">
        <v>75.1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/>
      <c r="AZ25" s="17">
        <f t="shared" si="2"/>
        <v>403.1</v>
      </c>
      <c r="BA25" s="17">
        <f t="shared" si="3"/>
        <v>279.4</v>
      </c>
      <c r="BB25" s="17">
        <f t="shared" si="4"/>
        <v>296.164</v>
      </c>
    </row>
    <row r="26" ht="15" customHeight="1">
      <c r="B26" s="18" t="s">
        <v>28</v>
      </c>
      <c r="C26" s="15">
        <v>35</v>
      </c>
      <c r="D26" s="15">
        <v>35</v>
      </c>
      <c r="E26" s="15">
        <v>35</v>
      </c>
      <c r="F26" s="15">
        <v>35</v>
      </c>
      <c r="G26" s="15">
        <v>35</v>
      </c>
      <c r="H26" s="15">
        <v>35</v>
      </c>
      <c r="I26" s="15">
        <v>35</v>
      </c>
      <c r="J26" s="15">
        <v>35</v>
      </c>
      <c r="K26" s="15">
        <v>35</v>
      </c>
      <c r="L26" s="15">
        <v>35</v>
      </c>
      <c r="M26" s="15">
        <v>35</v>
      </c>
      <c r="N26" s="15">
        <v>35</v>
      </c>
      <c r="O26" s="15">
        <v>35</v>
      </c>
      <c r="P26" s="15">
        <v>35</v>
      </c>
      <c r="Q26" s="15">
        <v>35</v>
      </c>
      <c r="R26" s="15">
        <v>35</v>
      </c>
      <c r="S26" s="15">
        <v>35</v>
      </c>
      <c r="T26" s="15">
        <v>35</v>
      </c>
      <c r="U26" s="15">
        <v>35</v>
      </c>
      <c r="V26" s="15">
        <v>35</v>
      </c>
      <c r="W26" s="15">
        <v>35</v>
      </c>
      <c r="X26" s="15">
        <v>35</v>
      </c>
      <c r="Y26" s="15">
        <v>35</v>
      </c>
      <c r="Z26" s="15">
        <v>35</v>
      </c>
      <c r="AA26" s="15">
        <v>35</v>
      </c>
      <c r="AB26" s="15">
        <v>35</v>
      </c>
      <c r="AC26" s="15">
        <v>35</v>
      </c>
      <c r="AD26" s="15">
        <v>35</v>
      </c>
      <c r="AE26" s="15">
        <v>35</v>
      </c>
      <c r="AF26" s="15">
        <v>35</v>
      </c>
      <c r="AG26" s="15">
        <v>35</v>
      </c>
      <c r="AH26" s="15">
        <v>35</v>
      </c>
      <c r="AI26" s="15">
        <v>35</v>
      </c>
      <c r="AJ26" s="15">
        <v>35</v>
      </c>
      <c r="AK26" s="15">
        <v>35</v>
      </c>
      <c r="AL26" s="15">
        <v>35</v>
      </c>
      <c r="AM26" s="15">
        <v>35</v>
      </c>
      <c r="AN26" s="15">
        <v>35</v>
      </c>
      <c r="AO26" s="15">
        <v>35</v>
      </c>
      <c r="AP26" s="15">
        <v>35</v>
      </c>
      <c r="AQ26" s="15">
        <v>35</v>
      </c>
      <c r="AR26" s="15">
        <v>35</v>
      </c>
      <c r="AS26" s="15">
        <v>35</v>
      </c>
      <c r="AT26" s="15">
        <v>35</v>
      </c>
      <c r="AU26" s="15">
        <v>35</v>
      </c>
      <c r="AV26" s="15">
        <v>35</v>
      </c>
      <c r="AW26" s="15">
        <v>35</v>
      </c>
      <c r="AX26" s="15">
        <v>35</v>
      </c>
      <c r="AY26" s="16"/>
      <c r="AZ26" s="17">
        <f t="shared" si="2"/>
        <v>420</v>
      </c>
      <c r="BA26" s="17">
        <f t="shared" si="3"/>
        <v>420</v>
      </c>
      <c r="BB26" s="17">
        <f t="shared" si="4"/>
        <v>445.2</v>
      </c>
    </row>
    <row r="27" ht="15" customHeight="1">
      <c r="B27" s="18" t="s">
        <v>29</v>
      </c>
      <c r="C27" s="15">
        <v>70.7</v>
      </c>
      <c r="D27" s="15">
        <v>47</v>
      </c>
      <c r="E27" s="15">
        <v>70.9</v>
      </c>
      <c r="F27" s="15">
        <v>58.6</v>
      </c>
      <c r="G27" s="15">
        <v>55.2</v>
      </c>
      <c r="H27" s="15">
        <v>61.6</v>
      </c>
      <c r="I27" s="15">
        <v>72.8</v>
      </c>
      <c r="J27" s="15">
        <v>53</v>
      </c>
      <c r="K27" s="15">
        <v>48.9</v>
      </c>
      <c r="L27" s="15">
        <v>60.8</v>
      </c>
      <c r="M27" s="15">
        <v>52.2</v>
      </c>
      <c r="N27" s="15">
        <v>48.3</v>
      </c>
      <c r="O27" s="15">
        <v>49.8</v>
      </c>
      <c r="P27" s="15">
        <v>46.5</v>
      </c>
      <c r="Q27" s="15">
        <v>51.1</v>
      </c>
      <c r="R27" s="15">
        <v>54.4</v>
      </c>
      <c r="S27" s="15">
        <v>54.2</v>
      </c>
      <c r="T27" s="15">
        <v>67.8</v>
      </c>
      <c r="U27" s="15">
        <v>53.7</v>
      </c>
      <c r="V27" s="15">
        <v>60</v>
      </c>
      <c r="W27" s="15">
        <v>50.3</v>
      </c>
      <c r="X27" s="15">
        <v>55.4</v>
      </c>
      <c r="Y27" s="15">
        <v>45.5</v>
      </c>
      <c r="Z27" s="15">
        <v>52.5</v>
      </c>
      <c r="AA27" s="15">
        <v>45.5</v>
      </c>
      <c r="AB27" s="15">
        <v>67</v>
      </c>
      <c r="AC27" s="15">
        <v>61.5</v>
      </c>
      <c r="AD27" s="15">
        <v>50.7</v>
      </c>
      <c r="AE27" s="15">
        <v>59.2</v>
      </c>
      <c r="AF27" s="15">
        <v>73</v>
      </c>
      <c r="AG27" s="15">
        <v>48.2</v>
      </c>
      <c r="AH27" s="15">
        <v>69.6</v>
      </c>
      <c r="AI27" s="15">
        <v>58</v>
      </c>
      <c r="AJ27" s="15">
        <v>59.9</v>
      </c>
      <c r="AK27" s="15">
        <v>70</v>
      </c>
      <c r="AL27" s="15">
        <v>56.8</v>
      </c>
      <c r="AM27" s="15">
        <v>60.2</v>
      </c>
      <c r="AN27" s="15">
        <v>65.6</v>
      </c>
      <c r="AO27" s="15">
        <v>74.5</v>
      </c>
      <c r="AP27" s="15">
        <v>55.3</v>
      </c>
      <c r="AQ27" s="15">
        <v>70</v>
      </c>
      <c r="AR27" s="15">
        <v>66.2</v>
      </c>
      <c r="AS27" s="15">
        <v>64.1</v>
      </c>
      <c r="AT27" s="15">
        <v>57.1</v>
      </c>
      <c r="AU27" s="15">
        <v>55.4</v>
      </c>
      <c r="AV27" s="15">
        <v>46.6</v>
      </c>
      <c r="AW27" s="15">
        <v>48.9</v>
      </c>
      <c r="AX27" s="15">
        <v>47.1</v>
      </c>
      <c r="AY27" s="16"/>
      <c r="AZ27" s="17">
        <f t="shared" si="2"/>
        <v>719.4</v>
      </c>
      <c r="BA27" s="17">
        <f t="shared" si="3"/>
        <v>711</v>
      </c>
      <c r="BB27" s="17">
        <f t="shared" si="4"/>
        <v>753.66</v>
      </c>
    </row>
    <row r="28" ht="15" customHeight="1">
      <c r="B28" s="19" t="s">
        <v>30</v>
      </c>
      <c r="C28" s="20">
        <f t="shared" si="7"/>
        <v>105.7</v>
      </c>
      <c r="D28" s="20">
        <f t="shared" si="7"/>
        <v>82</v>
      </c>
      <c r="E28" s="20">
        <f t="shared" si="7"/>
        <v>352.6</v>
      </c>
      <c r="F28" s="20">
        <f t="shared" si="7"/>
        <v>487</v>
      </c>
      <c r="G28" s="20">
        <f t="shared" si="7"/>
        <v>455.9</v>
      </c>
      <c r="H28" s="20">
        <f t="shared" si="7"/>
        <v>167</v>
      </c>
      <c r="I28" s="20">
        <f t="shared" si="7"/>
        <v>291.7</v>
      </c>
      <c r="J28" s="20">
        <f t="shared" si="7"/>
        <v>88</v>
      </c>
      <c r="K28" s="20">
        <f t="shared" si="7"/>
        <v>83.9</v>
      </c>
      <c r="L28" s="20">
        <f t="shared" si="7"/>
        <v>95.8</v>
      </c>
      <c r="M28" s="20">
        <f t="shared" si="7"/>
        <v>87.2</v>
      </c>
      <c r="N28" s="20">
        <f t="shared" si="7"/>
        <v>83.3</v>
      </c>
      <c r="O28" s="20">
        <f t="shared" si="7"/>
        <v>84.8</v>
      </c>
      <c r="P28" s="20">
        <f t="shared" si="7"/>
        <v>81.5</v>
      </c>
      <c r="Q28" s="20">
        <f t="shared" si="7"/>
        <v>283.7</v>
      </c>
      <c r="R28" s="20">
        <f t="shared" si="7"/>
        <v>254.2</v>
      </c>
      <c r="S28" s="20">
        <f t="shared" si="7"/>
        <v>225.8</v>
      </c>
      <c r="T28" s="20">
        <f t="shared" si="7"/>
        <v>175.8</v>
      </c>
      <c r="U28" s="20">
        <f t="shared" si="7"/>
        <v>88.7</v>
      </c>
      <c r="V28" s="20">
        <f t="shared" si="7"/>
        <v>95</v>
      </c>
      <c r="W28" s="20">
        <f t="shared" si="7"/>
        <v>85.3</v>
      </c>
      <c r="X28" s="20">
        <f t="shared" si="7"/>
        <v>90.4</v>
      </c>
      <c r="Y28" s="20">
        <f t="shared" si="7"/>
        <v>80.5</v>
      </c>
      <c r="Z28" s="20">
        <f t="shared" si="7"/>
        <v>87.5</v>
      </c>
      <c r="AA28" s="20">
        <f t="shared" si="7"/>
        <v>80.5</v>
      </c>
      <c r="AB28" s="20">
        <f t="shared" si="7"/>
        <v>330.9</v>
      </c>
      <c r="AC28" s="20">
        <f t="shared" si="7"/>
        <v>666.5</v>
      </c>
      <c r="AD28" s="20">
        <f t="shared" si="7"/>
        <v>376.9</v>
      </c>
      <c r="AE28" s="20">
        <f t="shared" si="7"/>
        <v>424.3</v>
      </c>
      <c r="AF28" s="20">
        <f t="shared" si="7"/>
        <v>108</v>
      </c>
      <c r="AG28" s="20">
        <f t="shared" si="7"/>
        <v>83.2</v>
      </c>
      <c r="AH28" s="20">
        <f t="shared" si="7"/>
        <v>104.6</v>
      </c>
      <c r="AI28" s="20">
        <f t="shared" si="7"/>
        <v>93</v>
      </c>
      <c r="AJ28" s="20">
        <f t="shared" si="7"/>
        <v>94.9</v>
      </c>
      <c r="AK28" s="20">
        <f t="shared" si="7"/>
        <v>105</v>
      </c>
      <c r="AL28" s="20">
        <f t="shared" si="7"/>
        <v>91.8</v>
      </c>
      <c r="AM28" s="20">
        <f t="shared" si="7"/>
        <v>299.5</v>
      </c>
      <c r="AN28" s="20">
        <f t="shared" si="7"/>
        <v>175.7</v>
      </c>
      <c r="AO28" s="20">
        <f t="shared" si="7"/>
        <v>256.3</v>
      </c>
      <c r="AP28" s="20">
        <f t="shared" si="7"/>
        <v>90.3</v>
      </c>
      <c r="AQ28" s="20">
        <f t="shared" si="7"/>
        <v>105</v>
      </c>
      <c r="AR28" s="20">
        <f t="shared" si="7"/>
        <v>101.2</v>
      </c>
      <c r="AS28" s="20">
        <f t="shared" si="7"/>
        <v>99.1</v>
      </c>
      <c r="AT28" s="20">
        <f t="shared" si="7"/>
        <v>92.1</v>
      </c>
      <c r="AU28" s="20">
        <f t="shared" si="7"/>
        <v>90.4</v>
      </c>
      <c r="AV28" s="20">
        <f t="shared" si="7"/>
        <v>81.6</v>
      </c>
      <c r="AW28" s="20">
        <f t="shared" si="7"/>
        <v>83.9</v>
      </c>
      <c r="AX28" s="20">
        <f t="shared" si="7"/>
        <v>82.1</v>
      </c>
      <c r="AY28" s="21"/>
      <c r="AZ28" s="22">
        <f t="shared" si="2"/>
        <v>2559.6</v>
      </c>
      <c r="BA28" s="22">
        <f t="shared" si="3"/>
        <v>1557.2</v>
      </c>
      <c r="BB28" s="22">
        <f t="shared" si="4"/>
        <v>1650.632</v>
      </c>
    </row>
    <row r="29" ht="15" customHeight="1">
      <c r="B29" s="19" t="s">
        <v>31</v>
      </c>
      <c r="C29" s="20">
        <f t="shared" si="11" ref="C29:AX29">C20+C28</f>
        <v>-1202.7</v>
      </c>
      <c r="D29" s="20">
        <f t="shared" si="11"/>
        <v>-1269.9</v>
      </c>
      <c r="E29" s="20">
        <f t="shared" si="11"/>
        <v>-1146.2</v>
      </c>
      <c r="F29" s="20">
        <f t="shared" si="11"/>
        <v>-956.4</v>
      </c>
      <c r="G29" s="20">
        <f t="shared" si="11"/>
        <v>-1037.3</v>
      </c>
      <c r="H29" s="20">
        <f t="shared" si="11"/>
        <v>-1371.2</v>
      </c>
      <c r="I29" s="20">
        <f t="shared" si="11"/>
        <v>-1090.8</v>
      </c>
      <c r="J29" s="20">
        <f t="shared" si="11"/>
        <v>-1236.4</v>
      </c>
      <c r="K29" s="20">
        <f t="shared" si="11"/>
        <v>-1396.7</v>
      </c>
      <c r="L29" s="20">
        <f t="shared" si="11"/>
        <v>-1632.8</v>
      </c>
      <c r="M29" s="20">
        <f t="shared" si="11"/>
        <v>-1583.4</v>
      </c>
      <c r="N29" s="20">
        <f t="shared" si="11"/>
        <v>-1425.4</v>
      </c>
      <c r="O29" s="20">
        <f t="shared" si="11"/>
        <v>-1384.7</v>
      </c>
      <c r="P29" s="20">
        <f t="shared" si="11"/>
        <v>-1377</v>
      </c>
      <c r="Q29" s="20">
        <f t="shared" si="11"/>
        <v>-1344.3</v>
      </c>
      <c r="R29" s="20">
        <f t="shared" si="11"/>
        <v>-1363.2</v>
      </c>
      <c r="S29" s="20">
        <f t="shared" si="11"/>
        <v>-1437.7</v>
      </c>
      <c r="T29" s="20">
        <f t="shared" si="11"/>
        <v>-1648.2</v>
      </c>
      <c r="U29" s="20">
        <f t="shared" si="11"/>
        <v>-1400.1</v>
      </c>
      <c r="V29" s="20">
        <f t="shared" si="11"/>
        <v>-1344</v>
      </c>
      <c r="W29" s="20">
        <f t="shared" si="11"/>
        <v>-1644.9</v>
      </c>
      <c r="X29" s="20">
        <f t="shared" si="11"/>
        <v>-1752.4</v>
      </c>
      <c r="Y29" s="20">
        <f t="shared" si="11"/>
        <v>-1781.9</v>
      </c>
      <c r="Z29" s="20">
        <f t="shared" si="11"/>
        <v>-1578.1</v>
      </c>
      <c r="AA29" s="20">
        <f t="shared" si="11"/>
        <v>-1446.8</v>
      </c>
      <c r="AB29" s="20">
        <f t="shared" si="11"/>
        <v>-1231</v>
      </c>
      <c r="AC29" s="20">
        <f t="shared" si="11"/>
        <v>-1172.7</v>
      </c>
      <c r="AD29" s="20">
        <f t="shared" si="11"/>
        <v>-1440.3</v>
      </c>
      <c r="AE29" s="20">
        <f t="shared" si="11"/>
        <v>-1313.7</v>
      </c>
      <c r="AF29" s="20">
        <f t="shared" si="11"/>
        <v>-1787.2</v>
      </c>
      <c r="AG29" s="20">
        <f t="shared" si="11"/>
        <v>-1634.4</v>
      </c>
      <c r="AH29" s="20">
        <f t="shared" si="11"/>
        <v>-1456.7</v>
      </c>
      <c r="AI29" s="20">
        <f t="shared" si="11"/>
        <v>-1743.5</v>
      </c>
      <c r="AJ29" s="20">
        <f t="shared" si="11"/>
        <v>-1830.6</v>
      </c>
      <c r="AK29" s="20">
        <f t="shared" si="11"/>
        <v>-1744.9</v>
      </c>
      <c r="AL29" s="20">
        <f t="shared" si="11"/>
        <v>-1561.5</v>
      </c>
      <c r="AM29" s="20">
        <f t="shared" si="11"/>
        <v>-1422</v>
      </c>
      <c r="AN29" s="20">
        <f t="shared" si="11"/>
        <v>-1547.4</v>
      </c>
      <c r="AO29" s="20">
        <f t="shared" si="11"/>
        <v>-1612.8</v>
      </c>
      <c r="AP29" s="20">
        <f t="shared" si="11"/>
        <v>-1846.5</v>
      </c>
      <c r="AQ29" s="20">
        <f t="shared" si="11"/>
        <v>-1844.6</v>
      </c>
      <c r="AR29" s="20">
        <f t="shared" si="11"/>
        <v>-1918.5</v>
      </c>
      <c r="AS29" s="20">
        <f t="shared" si="11"/>
        <v>-1687.7</v>
      </c>
      <c r="AT29" s="20">
        <f t="shared" si="11"/>
        <v>-1605.1</v>
      </c>
      <c r="AU29" s="20">
        <f t="shared" si="11"/>
        <v>-1892.3</v>
      </c>
      <c r="AV29" s="20">
        <f t="shared" si="11"/>
        <v>-1976.7</v>
      </c>
      <c r="AW29" s="20">
        <f t="shared" si="11"/>
        <v>-1922.7</v>
      </c>
      <c r="AX29" s="20">
        <f t="shared" si="11"/>
        <v>-1769.2</v>
      </c>
      <c r="AY29" s="21"/>
      <c r="AZ29" s="22">
        <f t="shared" si="2"/>
        <v>-18363.3</v>
      </c>
      <c r="BA29" s="22">
        <f t="shared" si="3"/>
        <v>-21045.5</v>
      </c>
      <c r="BB29" s="22">
        <f t="shared" si="4"/>
        <v>-22308.23</v>
      </c>
    </row>
    <row r="30" ht="15" customHeight="1">
      <c r="B30" s="23" t="s">
        <v>32</v>
      </c>
      <c r="C30" s="24">
        <f t="shared" si="12" ref="C30:BB30">_xlfn.IFERROR(-C29/C12,0)</f>
        <v>0.31497485857951</v>
      </c>
      <c r="D30" s="24">
        <f t="shared" si="12"/>
        <v>0.326956745623069</v>
      </c>
      <c r="E30" s="24">
        <f t="shared" si="12"/>
        <v>0.261791106137085</v>
      </c>
      <c r="F30" s="24">
        <f t="shared" si="12"/>
        <v>0.230080831408776</v>
      </c>
      <c r="G30" s="24">
        <f t="shared" si="12"/>
        <v>0.239544604299933</v>
      </c>
      <c r="H30" s="24">
        <f t="shared" si="12"/>
        <v>0.304170363797693</v>
      </c>
      <c r="I30" s="24">
        <f t="shared" si="12"/>
        <v>0.277840040753948</v>
      </c>
      <c r="J30" s="24">
        <f t="shared" si="12"/>
        <v>0.322584011688583</v>
      </c>
      <c r="K30" s="24">
        <f t="shared" si="12"/>
        <v>0.30615957913196</v>
      </c>
      <c r="L30" s="24">
        <f t="shared" si="12"/>
        <v>0.34209092813744</v>
      </c>
      <c r="M30" s="24">
        <f t="shared" si="12"/>
        <v>0.335722160970232</v>
      </c>
      <c r="N30" s="24">
        <f t="shared" si="12"/>
        <v>0.326439940455743</v>
      </c>
      <c r="O30" s="24">
        <f t="shared" si="12"/>
        <v>0.324985918137439</v>
      </c>
      <c r="P30" s="24">
        <f t="shared" si="12"/>
        <v>0.31204677302393</v>
      </c>
      <c r="Q30" s="24">
        <f t="shared" si="12"/>
        <v>0.279654670272519</v>
      </c>
      <c r="R30" s="24">
        <f t="shared" si="12"/>
        <v>0.294040249347512</v>
      </c>
      <c r="S30" s="24">
        <f t="shared" si="12"/>
        <v>0.297648130512194</v>
      </c>
      <c r="T30" s="24">
        <f t="shared" si="12"/>
        <v>0.322090205581177</v>
      </c>
      <c r="U30" s="24">
        <f t="shared" si="12"/>
        <v>0.316650081418491</v>
      </c>
      <c r="V30" s="24">
        <f t="shared" si="12"/>
        <v>0.31686156167484</v>
      </c>
      <c r="W30" s="24">
        <f t="shared" si="12"/>
        <v>0.315665240169644</v>
      </c>
      <c r="X30" s="24">
        <f t="shared" si="12"/>
        <v>0.333593497173098</v>
      </c>
      <c r="Y30" s="24">
        <f t="shared" si="12"/>
        <v>0.329908168555136</v>
      </c>
      <c r="Z30" s="24">
        <f t="shared" si="12"/>
        <v>0.322878304280219</v>
      </c>
      <c r="AA30" s="24">
        <f t="shared" si="12"/>
        <v>0.307711940108044</v>
      </c>
      <c r="AB30" s="24">
        <f t="shared" si="12"/>
        <v>0.258017187172501</v>
      </c>
      <c r="AC30" s="24">
        <f t="shared" si="12"/>
        <v>0.219339754979893</v>
      </c>
      <c r="AD30" s="24">
        <f t="shared" si="12"/>
        <v>0.275734660668134</v>
      </c>
      <c r="AE30" s="24">
        <f t="shared" si="12"/>
        <v>0.249719619062102</v>
      </c>
      <c r="AF30" s="24">
        <f t="shared" si="12"/>
        <v>0.321305934595401</v>
      </c>
      <c r="AG30" s="24">
        <f t="shared" si="12"/>
        <v>0.334274144066757</v>
      </c>
      <c r="AH30" s="24">
        <f t="shared" si="12"/>
        <v>0.312643530144013</v>
      </c>
      <c r="AI30" s="24">
        <f t="shared" si="12"/>
        <v>0.309235380713361</v>
      </c>
      <c r="AJ30" s="24">
        <f t="shared" si="12"/>
        <v>0.317989160644803</v>
      </c>
      <c r="AK30" s="24">
        <f t="shared" si="12"/>
        <v>0.303730265104702</v>
      </c>
      <c r="AL30" s="24">
        <f t="shared" si="12"/>
        <v>0.294694925170325</v>
      </c>
      <c r="AM30" s="24">
        <f t="shared" si="12"/>
        <v>0.272821457350063</v>
      </c>
      <c r="AN30" s="24">
        <f t="shared" si="12"/>
        <v>0.294148956392807</v>
      </c>
      <c r="AO30" s="24">
        <f t="shared" si="12"/>
        <v>0.276642824062162</v>
      </c>
      <c r="AP30" s="24">
        <f t="shared" si="12"/>
        <v>0.328552872724685</v>
      </c>
      <c r="AQ30" s="24">
        <f t="shared" si="12"/>
        <v>0.319239888544677</v>
      </c>
      <c r="AR30" s="24">
        <f t="shared" si="12"/>
        <v>0.319473123293146</v>
      </c>
      <c r="AS30" s="24">
        <f t="shared" si="12"/>
        <v>0.317028270874425</v>
      </c>
      <c r="AT30" s="24">
        <f t="shared" si="12"/>
        <v>0.314571288584027</v>
      </c>
      <c r="AU30" s="24">
        <f t="shared" si="12"/>
        <v>0.312771689724137</v>
      </c>
      <c r="AV30" s="24">
        <f t="shared" si="12"/>
        <v>0.312408136171827</v>
      </c>
      <c r="AW30" s="24">
        <f t="shared" si="12"/>
        <v>0.303916919575114</v>
      </c>
      <c r="AX30" s="24">
        <f t="shared" si="12"/>
        <v>0.300322525886946</v>
      </c>
      <c r="AY30" s="25"/>
      <c r="AZ30" s="26">
        <f t="shared" si="12"/>
        <v>0.292162665266574</v>
      </c>
      <c r="BA30" s="26">
        <f t="shared" si="12"/>
        <v>0.306219253305474</v>
      </c>
      <c r="BB30" s="26">
        <f t="shared" si="12"/>
        <v>0.306219253305474</v>
      </c>
    </row>
    <row r="31" ht="15" customHeight="1">
      <c r="B31" s="19" t="s">
        <v>33</v>
      </c>
      <c r="C31" s="20">
        <f t="shared" si="13" ref="C31:AX31">C22+C28</f>
        <v>1028.2</v>
      </c>
      <c r="D31" s="20">
        <f t="shared" si="13"/>
        <v>940.8</v>
      </c>
      <c r="E31" s="20">
        <f t="shared" si="13"/>
        <v>1339.2</v>
      </c>
      <c r="F31" s="20">
        <f t="shared" si="13"/>
        <v>1506.3</v>
      </c>
      <c r="G31" s="20">
        <f t="shared" si="13"/>
        <v>1527.7</v>
      </c>
      <c r="H31" s="20">
        <f t="shared" si="13"/>
        <v>1294.6</v>
      </c>
      <c r="I31" s="20">
        <f t="shared" si="13"/>
        <v>1233.2</v>
      </c>
      <c r="J31" s="20">
        <f t="shared" si="13"/>
        <v>1006.4</v>
      </c>
      <c r="K31" s="20">
        <f t="shared" si="13"/>
        <v>1261.8</v>
      </c>
      <c r="L31" s="20">
        <f t="shared" si="13"/>
        <v>1197.9</v>
      </c>
      <c r="M31" s="20">
        <f t="shared" si="13"/>
        <v>1252.9</v>
      </c>
      <c r="N31" s="20">
        <f t="shared" si="13"/>
        <v>1149.9</v>
      </c>
      <c r="O31" s="20">
        <f t="shared" si="13"/>
        <v>1137.3</v>
      </c>
      <c r="P31" s="20">
        <f t="shared" si="13"/>
        <v>1212.3</v>
      </c>
      <c r="Q31" s="20">
        <f t="shared" si="13"/>
        <v>1425.1</v>
      </c>
      <c r="R31" s="20">
        <f t="shared" si="13"/>
        <v>1346.6</v>
      </c>
      <c r="S31" s="20">
        <f t="shared" si="13"/>
        <v>1413.6</v>
      </c>
      <c r="T31" s="20">
        <f t="shared" si="13"/>
        <v>1360.7</v>
      </c>
      <c r="U31" s="20">
        <f t="shared" si="13"/>
        <v>1195.3</v>
      </c>
      <c r="V31" s="20">
        <f t="shared" si="13"/>
        <v>1225.3</v>
      </c>
      <c r="W31" s="20">
        <f t="shared" si="13"/>
        <v>1387</v>
      </c>
      <c r="X31" s="20">
        <f t="shared" si="13"/>
        <v>1325.9</v>
      </c>
      <c r="Y31" s="20">
        <f t="shared" si="13"/>
        <v>1372.1</v>
      </c>
      <c r="Z31" s="20">
        <f t="shared" si="13"/>
        <v>1290.2</v>
      </c>
      <c r="AA31" s="20">
        <f t="shared" si="13"/>
        <v>1370.6</v>
      </c>
      <c r="AB31" s="20">
        <f t="shared" si="13"/>
        <v>1630.2</v>
      </c>
      <c r="AC31" s="20">
        <f t="shared" si="13"/>
        <v>2082.7</v>
      </c>
      <c r="AD31" s="20">
        <f t="shared" si="13"/>
        <v>1664</v>
      </c>
      <c r="AE31" s="20">
        <f t="shared" si="13"/>
        <v>1902.5</v>
      </c>
      <c r="AF31" s="20">
        <f t="shared" si="13"/>
        <v>1616.1</v>
      </c>
      <c r="AG31" s="20">
        <f t="shared" si="13"/>
        <v>1340.7</v>
      </c>
      <c r="AH31" s="20">
        <f t="shared" si="13"/>
        <v>1387.6</v>
      </c>
      <c r="AI31" s="20">
        <f t="shared" si="13"/>
        <v>1673.6</v>
      </c>
      <c r="AJ31" s="20">
        <f t="shared" si="13"/>
        <v>1709.2</v>
      </c>
      <c r="AK31" s="20">
        <f t="shared" si="13"/>
        <v>1799.9</v>
      </c>
      <c r="AL31" s="20">
        <f t="shared" si="13"/>
        <v>1688.7</v>
      </c>
      <c r="AM31" s="20">
        <f t="shared" si="13"/>
        <v>1785.9</v>
      </c>
      <c r="AN31" s="20">
        <f t="shared" si="13"/>
        <v>1654.8</v>
      </c>
      <c r="AO31" s="20">
        <f t="shared" si="13"/>
        <v>1995.3</v>
      </c>
      <c r="AP31" s="20">
        <f t="shared" si="13"/>
        <v>1501.2</v>
      </c>
      <c r="AQ31" s="20">
        <f t="shared" si="13"/>
        <v>1643.5</v>
      </c>
      <c r="AR31" s="20">
        <f t="shared" si="13"/>
        <v>1789.1</v>
      </c>
      <c r="AS31" s="20">
        <f t="shared" si="13"/>
        <v>1587.1</v>
      </c>
      <c r="AT31" s="20">
        <f t="shared" si="13"/>
        <v>1523.5</v>
      </c>
      <c r="AU31" s="20">
        <f t="shared" si="13"/>
        <v>1818.6</v>
      </c>
      <c r="AV31" s="20">
        <f t="shared" si="13"/>
        <v>1950.9</v>
      </c>
      <c r="AW31" s="20">
        <f t="shared" si="13"/>
        <v>1880.8</v>
      </c>
      <c r="AX31" s="20">
        <f t="shared" si="13"/>
        <v>1753</v>
      </c>
      <c r="AY31" s="21"/>
      <c r="AZ31" s="22">
        <f t="shared" si="2"/>
        <v>19865.8</v>
      </c>
      <c r="BA31" s="22">
        <f t="shared" si="3"/>
        <v>20883.7</v>
      </c>
      <c r="BB31" s="22">
        <f t="shared" si="4"/>
        <v>22136.722</v>
      </c>
    </row>
    <row r="32" ht="15" customHeight="1">
      <c r="B32" s="23" t="s">
        <v>34</v>
      </c>
      <c r="C32" s="24">
        <f t="shared" si="14" ref="C32:BB32">_xlfn.IFERROR(C31/C12,0)</f>
        <v>0.269275089042531</v>
      </c>
      <c r="D32" s="24">
        <f t="shared" si="14"/>
        <v>0.242224510813594</v>
      </c>
      <c r="E32" s="24">
        <f t="shared" si="14"/>
        <v>0.305872142155631</v>
      </c>
      <c r="F32" s="24">
        <f t="shared" si="14"/>
        <v>0.362370092378753</v>
      </c>
      <c r="G32" s="24">
        <f t="shared" si="14"/>
        <v>0.35279310902247</v>
      </c>
      <c r="H32" s="24">
        <f t="shared" si="14"/>
        <v>0.28717834960071</v>
      </c>
      <c r="I32" s="24">
        <f t="shared" si="14"/>
        <v>0.314111054508406</v>
      </c>
      <c r="J32" s="24">
        <f t="shared" si="14"/>
        <v>0.262575662700897</v>
      </c>
      <c r="K32" s="24">
        <f t="shared" si="14"/>
        <v>0.276589215256466</v>
      </c>
      <c r="L32" s="24">
        <f t="shared" si="14"/>
        <v>0.250974230043997</v>
      </c>
      <c r="M32" s="24">
        <f t="shared" si="14"/>
        <v>0.265647527775422</v>
      </c>
      <c r="N32" s="24">
        <f t="shared" si="14"/>
        <v>0.26334592923394</v>
      </c>
      <c r="O32" s="24">
        <f t="shared" si="14"/>
        <v>0.266921704844161</v>
      </c>
      <c r="P32" s="24">
        <f t="shared" si="14"/>
        <v>0.274723531544597</v>
      </c>
      <c r="Q32" s="24">
        <f t="shared" si="14"/>
        <v>0.296463490742667</v>
      </c>
      <c r="R32" s="24">
        <f t="shared" si="14"/>
        <v>0.290459653588145</v>
      </c>
      <c r="S32" s="24">
        <f t="shared" si="14"/>
        <v>0.292658689081197</v>
      </c>
      <c r="T32" s="24">
        <f t="shared" si="14"/>
        <v>0.265907136715391</v>
      </c>
      <c r="U32" s="24">
        <f t="shared" si="14"/>
        <v>0.270332006513479</v>
      </c>
      <c r="V32" s="24">
        <f t="shared" si="14"/>
        <v>0.288876838928706</v>
      </c>
      <c r="W32" s="24">
        <f t="shared" si="14"/>
        <v>0.266172830029362</v>
      </c>
      <c r="X32" s="24">
        <f t="shared" si="14"/>
        <v>0.252403342788068</v>
      </c>
      <c r="Y32" s="24">
        <f t="shared" si="14"/>
        <v>0.254036140117011</v>
      </c>
      <c r="Z32" s="24">
        <f t="shared" si="14"/>
        <v>0.26397413863655</v>
      </c>
      <c r="AA32" s="24">
        <f t="shared" si="14"/>
        <v>0.291505380917946</v>
      </c>
      <c r="AB32" s="24">
        <f t="shared" si="14"/>
        <v>0.341689373297003</v>
      </c>
      <c r="AC32" s="24">
        <f t="shared" si="14"/>
        <v>0.389544561862901</v>
      </c>
      <c r="AD32" s="24">
        <f t="shared" si="14"/>
        <v>0.318560352254236</v>
      </c>
      <c r="AE32" s="24">
        <f t="shared" si="14"/>
        <v>0.361643887695554</v>
      </c>
      <c r="AF32" s="24">
        <f t="shared" si="14"/>
        <v>0.290545278032469</v>
      </c>
      <c r="AG32" s="24">
        <f t="shared" si="14"/>
        <v>0.274205423978402</v>
      </c>
      <c r="AH32" s="24">
        <f t="shared" si="14"/>
        <v>0.297812976198141</v>
      </c>
      <c r="AI32" s="24">
        <f t="shared" si="14"/>
        <v>0.296837587130416</v>
      </c>
      <c r="AJ32" s="24">
        <f t="shared" si="14"/>
        <v>0.296901056142301</v>
      </c>
      <c r="AK32" s="24">
        <f t="shared" si="14"/>
        <v>0.313303973959512</v>
      </c>
      <c r="AL32" s="24">
        <f t="shared" si="14"/>
        <v>0.318700813407062</v>
      </c>
      <c r="AM32" s="24">
        <f t="shared" si="14"/>
        <v>0.342638425233107</v>
      </c>
      <c r="AN32" s="24">
        <f t="shared" si="14"/>
        <v>0.314564878530966</v>
      </c>
      <c r="AO32" s="24">
        <f t="shared" si="14"/>
        <v>0.342252868831369</v>
      </c>
      <c r="AP32" s="24">
        <f t="shared" si="14"/>
        <v>0.267112684827672</v>
      </c>
      <c r="AQ32" s="24">
        <f t="shared" si="14"/>
        <v>0.284436060296637</v>
      </c>
      <c r="AR32" s="24">
        <f t="shared" si="14"/>
        <v>0.297925131552654</v>
      </c>
      <c r="AS32" s="24">
        <f t="shared" si="14"/>
        <v>0.29813092890016</v>
      </c>
      <c r="AT32" s="24">
        <f t="shared" si="14"/>
        <v>0.298579127878491</v>
      </c>
      <c r="AU32" s="24">
        <f t="shared" si="14"/>
        <v>0.300590072891357</v>
      </c>
      <c r="AV32" s="24">
        <f t="shared" si="14"/>
        <v>0.308330567540657</v>
      </c>
      <c r="AW32" s="24">
        <f t="shared" si="14"/>
        <v>0.297293879615579</v>
      </c>
      <c r="AX32" s="24">
        <f t="shared" si="14"/>
        <v>0.297572568324563</v>
      </c>
      <c r="AY32" s="25"/>
      <c r="AZ32" s="26">
        <f t="shared" si="14"/>
        <v>0.31606764991329</v>
      </c>
      <c r="BA32" s="26">
        <f t="shared" si="14"/>
        <v>0.303865007733508</v>
      </c>
      <c r="BB32" s="26">
        <f t="shared" si="14"/>
        <v>0.303865007733508</v>
      </c>
    </row>
    <row r="33" ht="15" customHeight="1">
      <c r="B33" s="1" t="s">
        <v>35</v>
      </c>
      <c r="C33" s="15">
        <v>-64.8</v>
      </c>
      <c r="D33" s="15">
        <v>-58.3</v>
      </c>
      <c r="E33" s="15">
        <v>-64.2</v>
      </c>
      <c r="F33" s="15">
        <v>-59.6</v>
      </c>
      <c r="G33" s="15">
        <v>-75.2</v>
      </c>
      <c r="H33" s="15">
        <v>-78.8</v>
      </c>
      <c r="I33" s="15">
        <v>-65.5</v>
      </c>
      <c r="J33" s="15">
        <v>-58</v>
      </c>
      <c r="K33" s="15">
        <v>-68.3</v>
      </c>
      <c r="L33" s="15">
        <v>-72.4</v>
      </c>
      <c r="M33" s="15">
        <v>-74.7</v>
      </c>
      <c r="N33" s="15">
        <v>-63.9</v>
      </c>
      <c r="O33" s="15">
        <v>-67.2</v>
      </c>
      <c r="P33" s="15">
        <v>-66.4</v>
      </c>
      <c r="Q33" s="15">
        <v>-85.8</v>
      </c>
      <c r="R33" s="15">
        <v>-82.9</v>
      </c>
      <c r="S33" s="15">
        <v>-78.2</v>
      </c>
      <c r="T33" s="15">
        <v>-76.6</v>
      </c>
      <c r="U33" s="15">
        <v>-79</v>
      </c>
      <c r="V33" s="15">
        <v>-64.6</v>
      </c>
      <c r="W33" s="15">
        <v>-80.4</v>
      </c>
      <c r="X33" s="15">
        <v>-73.6</v>
      </c>
      <c r="Y33" s="15">
        <v>-83.9</v>
      </c>
      <c r="Z33" s="15">
        <v>-77.7</v>
      </c>
      <c r="AA33" s="15">
        <v>-75.3</v>
      </c>
      <c r="AB33" s="15">
        <v>-70.6</v>
      </c>
      <c r="AC33" s="15">
        <v>-85.6</v>
      </c>
      <c r="AD33" s="15">
        <v>-73.2</v>
      </c>
      <c r="AE33" s="15">
        <v>-79.2</v>
      </c>
      <c r="AF33" s="15">
        <v>-79.9</v>
      </c>
      <c r="AG33" s="15">
        <v>-76.3</v>
      </c>
      <c r="AH33" s="15">
        <v>-66</v>
      </c>
      <c r="AI33" s="15">
        <v>-79.4</v>
      </c>
      <c r="AJ33" s="15">
        <v>-87.6</v>
      </c>
      <c r="AK33" s="15">
        <v>-85.8</v>
      </c>
      <c r="AL33" s="15">
        <v>-86.6</v>
      </c>
      <c r="AM33" s="15">
        <v>-84</v>
      </c>
      <c r="AN33" s="15">
        <v>-89.4</v>
      </c>
      <c r="AO33" s="15">
        <v>-97</v>
      </c>
      <c r="AP33" s="15">
        <v>-94.8</v>
      </c>
      <c r="AQ33" s="15">
        <v>-101.2</v>
      </c>
      <c r="AR33" s="15">
        <v>-93.4</v>
      </c>
      <c r="AS33" s="15">
        <v>-81.5</v>
      </c>
      <c r="AT33" s="15">
        <v>-91.5</v>
      </c>
      <c r="AU33" s="15">
        <v>-88.3</v>
      </c>
      <c r="AV33" s="15">
        <v>-106.9</v>
      </c>
      <c r="AW33" s="15">
        <v>-104.8</v>
      </c>
      <c r="AX33" s="15">
        <v>-83.5</v>
      </c>
      <c r="AY33" s="16"/>
      <c r="AZ33" s="17">
        <f t="shared" si="2"/>
        <v>-945.5</v>
      </c>
      <c r="BA33" s="17">
        <f t="shared" si="3"/>
        <v>-1116.3</v>
      </c>
      <c r="BB33" s="17">
        <f t="shared" si="4"/>
        <v>-1183.278</v>
      </c>
    </row>
    <row r="34" ht="15" customHeight="1">
      <c r="B34" s="19" t="s">
        <v>36</v>
      </c>
      <c r="C34" s="20">
        <f t="shared" si="15" ref="C34:AX34">C31+C33</f>
        <v>963.4</v>
      </c>
      <c r="D34" s="20">
        <f t="shared" si="15"/>
        <v>882.5</v>
      </c>
      <c r="E34" s="20">
        <f t="shared" si="15"/>
        <v>1275</v>
      </c>
      <c r="F34" s="20">
        <f t="shared" si="15"/>
        <v>1446.7</v>
      </c>
      <c r="G34" s="20">
        <f t="shared" si="15"/>
        <v>1452.5</v>
      </c>
      <c r="H34" s="20">
        <f t="shared" si="15"/>
        <v>1215.8</v>
      </c>
      <c r="I34" s="20">
        <f t="shared" si="15"/>
        <v>1167.7</v>
      </c>
      <c r="J34" s="20">
        <f t="shared" si="15"/>
        <v>948.4</v>
      </c>
      <c r="K34" s="20">
        <f t="shared" si="15"/>
        <v>1193.5</v>
      </c>
      <c r="L34" s="20">
        <f t="shared" si="15"/>
        <v>1125.5</v>
      </c>
      <c r="M34" s="20">
        <f t="shared" si="15"/>
        <v>1178.2</v>
      </c>
      <c r="N34" s="20">
        <f t="shared" si="15"/>
        <v>1086</v>
      </c>
      <c r="O34" s="20">
        <f t="shared" si="15"/>
        <v>1070.1</v>
      </c>
      <c r="P34" s="20">
        <f t="shared" si="15"/>
        <v>1145.9</v>
      </c>
      <c r="Q34" s="20">
        <f t="shared" si="15"/>
        <v>1339.3</v>
      </c>
      <c r="R34" s="20">
        <f t="shared" si="15"/>
        <v>1263.7</v>
      </c>
      <c r="S34" s="20">
        <f t="shared" si="15"/>
        <v>1335.4</v>
      </c>
      <c r="T34" s="20">
        <f t="shared" si="15"/>
        <v>1284.1</v>
      </c>
      <c r="U34" s="20">
        <f t="shared" si="15"/>
        <v>1116.3</v>
      </c>
      <c r="V34" s="20">
        <f t="shared" si="15"/>
        <v>1160.7</v>
      </c>
      <c r="W34" s="20">
        <f t="shared" si="15"/>
        <v>1306.6</v>
      </c>
      <c r="X34" s="20">
        <f t="shared" si="15"/>
        <v>1252.3</v>
      </c>
      <c r="Y34" s="20">
        <f t="shared" si="15"/>
        <v>1288.2</v>
      </c>
      <c r="Z34" s="20">
        <f t="shared" si="15"/>
        <v>1212.5</v>
      </c>
      <c r="AA34" s="20">
        <f t="shared" si="15"/>
        <v>1295.3</v>
      </c>
      <c r="AB34" s="20">
        <f t="shared" si="15"/>
        <v>1559.6</v>
      </c>
      <c r="AC34" s="20">
        <f t="shared" si="15"/>
        <v>1997.1</v>
      </c>
      <c r="AD34" s="20">
        <f t="shared" si="15"/>
        <v>1590.8</v>
      </c>
      <c r="AE34" s="20">
        <f t="shared" si="15"/>
        <v>1823.3</v>
      </c>
      <c r="AF34" s="20">
        <f t="shared" si="15"/>
        <v>1536.2</v>
      </c>
      <c r="AG34" s="20">
        <f t="shared" si="15"/>
        <v>1264.4</v>
      </c>
      <c r="AH34" s="20">
        <f t="shared" si="15"/>
        <v>1321.6</v>
      </c>
      <c r="AI34" s="20">
        <f t="shared" si="15"/>
        <v>1594.2</v>
      </c>
      <c r="AJ34" s="20">
        <f t="shared" si="15"/>
        <v>1621.6</v>
      </c>
      <c r="AK34" s="20">
        <f t="shared" si="15"/>
        <v>1714.1</v>
      </c>
      <c r="AL34" s="20">
        <f t="shared" si="15"/>
        <v>1602.1</v>
      </c>
      <c r="AM34" s="20">
        <f t="shared" si="15"/>
        <v>1701.9</v>
      </c>
      <c r="AN34" s="20">
        <f t="shared" si="15"/>
        <v>1565.4</v>
      </c>
      <c r="AO34" s="20">
        <f t="shared" si="15"/>
        <v>1898.3</v>
      </c>
      <c r="AP34" s="20">
        <f t="shared" si="15"/>
        <v>1406.4</v>
      </c>
      <c r="AQ34" s="20">
        <f t="shared" si="15"/>
        <v>1542.3</v>
      </c>
      <c r="AR34" s="20">
        <f t="shared" si="15"/>
        <v>1695.7</v>
      </c>
      <c r="AS34" s="20">
        <f t="shared" si="15"/>
        <v>1505.6</v>
      </c>
      <c r="AT34" s="20">
        <f t="shared" si="15"/>
        <v>1432</v>
      </c>
      <c r="AU34" s="20">
        <f t="shared" si="15"/>
        <v>1730.3</v>
      </c>
      <c r="AV34" s="20">
        <f t="shared" si="15"/>
        <v>1844</v>
      </c>
      <c r="AW34" s="20">
        <f t="shared" si="15"/>
        <v>1776</v>
      </c>
      <c r="AX34" s="20">
        <f t="shared" si="15"/>
        <v>1669.5</v>
      </c>
      <c r="AY34" s="21"/>
      <c r="AZ34" s="22">
        <f t="shared" si="2"/>
        <v>18920.3</v>
      </c>
      <c r="BA34" s="22">
        <f t="shared" si="3"/>
        <v>19767.4</v>
      </c>
      <c r="BB34" s="22">
        <f t="shared" si="4"/>
        <v>20953.444</v>
      </c>
    </row>
    <row r="35" ht="15" customHeight="1">
      <c r="B35" s="1" t="s">
        <v>37</v>
      </c>
      <c r="C35" s="15">
        <v>-430</v>
      </c>
      <c r="D35" s="15">
        <v>-432</v>
      </c>
      <c r="E35" s="15">
        <v>-434</v>
      </c>
      <c r="F35" s="15">
        <v>-436</v>
      </c>
      <c r="G35" s="15">
        <v>-438</v>
      </c>
      <c r="H35" s="15">
        <v>-440</v>
      </c>
      <c r="I35" s="15">
        <v>-442</v>
      </c>
      <c r="J35" s="15">
        <v>-444</v>
      </c>
      <c r="K35" s="15">
        <v>-446</v>
      </c>
      <c r="L35" s="15">
        <v>-448</v>
      </c>
      <c r="M35" s="15">
        <v>-450</v>
      </c>
      <c r="N35" s="15">
        <v>-452</v>
      </c>
      <c r="O35" s="15">
        <v>-454</v>
      </c>
      <c r="P35" s="15">
        <v>-456</v>
      </c>
      <c r="Q35" s="15">
        <v>-458</v>
      </c>
      <c r="R35" s="15">
        <v>-460</v>
      </c>
      <c r="S35" s="15">
        <v>-462</v>
      </c>
      <c r="T35" s="15">
        <v>-464</v>
      </c>
      <c r="U35" s="15">
        <v>-466</v>
      </c>
      <c r="V35" s="15">
        <v>-468</v>
      </c>
      <c r="W35" s="15">
        <v>-470</v>
      </c>
      <c r="X35" s="15">
        <v>-472</v>
      </c>
      <c r="Y35" s="15">
        <v>-474</v>
      </c>
      <c r="Z35" s="15">
        <v>-476</v>
      </c>
      <c r="AA35" s="15">
        <v>-478</v>
      </c>
      <c r="AB35" s="15">
        <v>-480</v>
      </c>
      <c r="AC35" s="15">
        <v>-482</v>
      </c>
      <c r="AD35" s="15">
        <v>-484</v>
      </c>
      <c r="AE35" s="15">
        <v>-486</v>
      </c>
      <c r="AF35" s="15">
        <v>-488</v>
      </c>
      <c r="AG35" s="15">
        <v>-490</v>
      </c>
      <c r="AH35" s="15">
        <v>-492</v>
      </c>
      <c r="AI35" s="15">
        <v>-494</v>
      </c>
      <c r="AJ35" s="15">
        <v>-496</v>
      </c>
      <c r="AK35" s="15">
        <v>-498</v>
      </c>
      <c r="AL35" s="15">
        <v>-500</v>
      </c>
      <c r="AM35" s="15">
        <v>-502</v>
      </c>
      <c r="AN35" s="15">
        <v>-504</v>
      </c>
      <c r="AO35" s="15">
        <v>-506</v>
      </c>
      <c r="AP35" s="15">
        <v>-508</v>
      </c>
      <c r="AQ35" s="15">
        <v>-510</v>
      </c>
      <c r="AR35" s="15">
        <v>-512</v>
      </c>
      <c r="AS35" s="15">
        <v>-514</v>
      </c>
      <c r="AT35" s="15">
        <v>-516</v>
      </c>
      <c r="AU35" s="15">
        <v>-518</v>
      </c>
      <c r="AV35" s="15">
        <v>-520</v>
      </c>
      <c r="AW35" s="15">
        <v>-522</v>
      </c>
      <c r="AX35" s="15">
        <v>-524</v>
      </c>
      <c r="AY35" s="16"/>
      <c r="AZ35" s="17">
        <f t="shared" si="2"/>
        <v>-5868</v>
      </c>
      <c r="BA35" s="17">
        <f t="shared" si="3"/>
        <v>-6156</v>
      </c>
      <c r="BB35" s="17">
        <f t="shared" si="4"/>
        <v>-6525.36</v>
      </c>
    </row>
    <row r="36" ht="15" customHeight="1">
      <c r="B36" s="19" t="s">
        <v>38</v>
      </c>
      <c r="C36" s="20">
        <f t="shared" si="5"/>
        <v>533.4</v>
      </c>
      <c r="D36" s="20">
        <f t="shared" si="5"/>
        <v>450.5</v>
      </c>
      <c r="E36" s="20">
        <f t="shared" si="5"/>
        <v>841</v>
      </c>
      <c r="F36" s="20">
        <f t="shared" si="5"/>
        <v>1010.7</v>
      </c>
      <c r="G36" s="20">
        <f t="shared" si="5"/>
        <v>1014.5</v>
      </c>
      <c r="H36" s="20">
        <f t="shared" si="5"/>
        <v>775.8</v>
      </c>
      <c r="I36" s="20">
        <f t="shared" si="5"/>
        <v>725.7</v>
      </c>
      <c r="J36" s="20">
        <f t="shared" si="5"/>
        <v>504.4</v>
      </c>
      <c r="K36" s="20">
        <f t="shared" si="5"/>
        <v>747.5</v>
      </c>
      <c r="L36" s="20">
        <f t="shared" si="5"/>
        <v>677.5</v>
      </c>
      <c r="M36" s="20">
        <f t="shared" si="5"/>
        <v>728.2</v>
      </c>
      <c r="N36" s="20">
        <f t="shared" si="5"/>
        <v>634</v>
      </c>
      <c r="O36" s="20">
        <f t="shared" si="5"/>
        <v>616.1</v>
      </c>
      <c r="P36" s="20">
        <f t="shared" si="5"/>
        <v>689.9</v>
      </c>
      <c r="Q36" s="20">
        <f t="shared" si="5"/>
        <v>881.3</v>
      </c>
      <c r="R36" s="20">
        <f t="shared" si="5"/>
        <v>803.7</v>
      </c>
      <c r="S36" s="20">
        <f t="shared" si="5"/>
        <v>873.4</v>
      </c>
      <c r="T36" s="20">
        <f t="shared" si="5"/>
        <v>820.1</v>
      </c>
      <c r="U36" s="20">
        <f t="shared" si="5"/>
        <v>650.3</v>
      </c>
      <c r="V36" s="20">
        <f t="shared" si="5"/>
        <v>692.7</v>
      </c>
      <c r="W36" s="20">
        <f t="shared" si="5"/>
        <v>836.6</v>
      </c>
      <c r="X36" s="20">
        <f t="shared" si="5"/>
        <v>780.3</v>
      </c>
      <c r="Y36" s="20">
        <f t="shared" si="5"/>
        <v>814.2</v>
      </c>
      <c r="Z36" s="20">
        <f t="shared" si="5"/>
        <v>736.5</v>
      </c>
      <c r="AA36" s="20">
        <f t="shared" si="5"/>
        <v>817.3</v>
      </c>
      <c r="AB36" s="20">
        <f t="shared" si="5"/>
        <v>1079.6</v>
      </c>
      <c r="AC36" s="20">
        <f t="shared" si="5"/>
        <v>1515.1</v>
      </c>
      <c r="AD36" s="20">
        <f t="shared" si="5"/>
        <v>1106.8</v>
      </c>
      <c r="AE36" s="20">
        <f t="shared" si="5"/>
        <v>1337.3</v>
      </c>
      <c r="AF36" s="20">
        <f t="shared" si="5"/>
        <v>1048.2</v>
      </c>
      <c r="AG36" s="20">
        <f t="shared" si="5"/>
        <v>774.4</v>
      </c>
      <c r="AH36" s="20">
        <f t="shared" si="5"/>
        <v>829.6</v>
      </c>
      <c r="AI36" s="20">
        <f t="shared" si="5"/>
        <v>1100.2</v>
      </c>
      <c r="AJ36" s="20">
        <f t="shared" si="5"/>
        <v>1125.6</v>
      </c>
      <c r="AK36" s="20">
        <f t="shared" si="5"/>
        <v>1216.1</v>
      </c>
      <c r="AL36" s="20">
        <f t="shared" si="5"/>
        <v>1102.1</v>
      </c>
      <c r="AM36" s="20">
        <f t="shared" si="5"/>
        <v>1199.9</v>
      </c>
      <c r="AN36" s="20">
        <f t="shared" si="5"/>
        <v>1061.4</v>
      </c>
      <c r="AO36" s="20">
        <f t="shared" si="5"/>
        <v>1392.3</v>
      </c>
      <c r="AP36" s="20">
        <f t="shared" si="5"/>
        <v>898.4</v>
      </c>
      <c r="AQ36" s="20">
        <f t="shared" si="5"/>
        <v>1032.3</v>
      </c>
      <c r="AR36" s="20">
        <f t="shared" si="5"/>
        <v>1183.7</v>
      </c>
      <c r="AS36" s="20">
        <f t="shared" si="5"/>
        <v>991.6</v>
      </c>
      <c r="AT36" s="20">
        <f t="shared" si="5"/>
        <v>916</v>
      </c>
      <c r="AU36" s="20">
        <f t="shared" si="5"/>
        <v>1212.3</v>
      </c>
      <c r="AV36" s="20">
        <f t="shared" si="5"/>
        <v>1324</v>
      </c>
      <c r="AW36" s="20">
        <f t="shared" si="5"/>
        <v>1254</v>
      </c>
      <c r="AX36" s="20">
        <f t="shared" si="5"/>
        <v>1145.5</v>
      </c>
      <c r="AY36" s="21"/>
      <c r="AZ36" s="22">
        <f t="shared" si="2"/>
        <v>13052.3</v>
      </c>
      <c r="BA36" s="22">
        <f t="shared" si="3"/>
        <v>13611.4</v>
      </c>
      <c r="BB36" s="22">
        <f t="shared" si="4"/>
        <v>14428.084</v>
      </c>
    </row>
    <row r="37" ht="15" customHeight="1">
      <c r="B37" s="1" t="s">
        <v>39</v>
      </c>
      <c r="C37" s="27">
        <f t="shared" si="16" ref="C37:BB37">-MAX(0,C36)*$C$119</f>
        <v>-133.35</v>
      </c>
      <c r="D37" s="27">
        <f t="shared" si="16"/>
        <v>-112.625</v>
      </c>
      <c r="E37" s="27">
        <f t="shared" si="16"/>
        <v>-210.25</v>
      </c>
      <c r="F37" s="27">
        <f t="shared" si="16"/>
        <v>-252.675</v>
      </c>
      <c r="G37" s="27">
        <f t="shared" si="16"/>
        <v>-253.625</v>
      </c>
      <c r="H37" s="27">
        <f t="shared" si="16"/>
        <v>-193.95</v>
      </c>
      <c r="I37" s="27">
        <f t="shared" si="16"/>
        <v>-181.425</v>
      </c>
      <c r="J37" s="27">
        <f t="shared" si="16"/>
        <v>-126.1</v>
      </c>
      <c r="K37" s="27">
        <f t="shared" si="16"/>
        <v>-186.875</v>
      </c>
      <c r="L37" s="27">
        <f t="shared" si="16"/>
        <v>-169.375</v>
      </c>
      <c r="M37" s="27">
        <f t="shared" si="16"/>
        <v>-182.05</v>
      </c>
      <c r="N37" s="27">
        <f t="shared" si="16"/>
        <v>-158.5</v>
      </c>
      <c r="O37" s="27">
        <f t="shared" si="16"/>
        <v>-154.025</v>
      </c>
      <c r="P37" s="27">
        <f t="shared" si="16"/>
        <v>-172.475</v>
      </c>
      <c r="Q37" s="27">
        <f t="shared" si="16"/>
        <v>-220.325</v>
      </c>
      <c r="R37" s="27">
        <f t="shared" si="16"/>
        <v>-200.925</v>
      </c>
      <c r="S37" s="27">
        <f t="shared" si="16"/>
        <v>-218.35</v>
      </c>
      <c r="T37" s="27">
        <f t="shared" si="16"/>
        <v>-205.025</v>
      </c>
      <c r="U37" s="27">
        <f t="shared" si="16"/>
        <v>-162.575</v>
      </c>
      <c r="V37" s="27">
        <f t="shared" si="16"/>
        <v>-173.175</v>
      </c>
      <c r="W37" s="27">
        <f t="shared" si="16"/>
        <v>-209.15</v>
      </c>
      <c r="X37" s="27">
        <f t="shared" si="16"/>
        <v>-195.075</v>
      </c>
      <c r="Y37" s="27">
        <f t="shared" si="16"/>
        <v>-203.55</v>
      </c>
      <c r="Z37" s="27">
        <f t="shared" si="16"/>
        <v>-184.125</v>
      </c>
      <c r="AA37" s="27">
        <f t="shared" si="16"/>
        <v>-204.325</v>
      </c>
      <c r="AB37" s="27">
        <f t="shared" si="16"/>
        <v>-269.9</v>
      </c>
      <c r="AC37" s="27">
        <f t="shared" si="16"/>
        <v>-378.775</v>
      </c>
      <c r="AD37" s="27">
        <f t="shared" si="16"/>
        <v>-276.7</v>
      </c>
      <c r="AE37" s="27">
        <f t="shared" si="16"/>
        <v>-334.325</v>
      </c>
      <c r="AF37" s="27">
        <f t="shared" si="16"/>
        <v>-262.05</v>
      </c>
      <c r="AG37" s="27">
        <f t="shared" si="16"/>
        <v>-193.6</v>
      </c>
      <c r="AH37" s="27">
        <f t="shared" si="16"/>
        <v>-207.4</v>
      </c>
      <c r="AI37" s="27">
        <f t="shared" si="16"/>
        <v>-275.05</v>
      </c>
      <c r="AJ37" s="27">
        <f t="shared" si="16"/>
        <v>-281.4</v>
      </c>
      <c r="AK37" s="27">
        <f t="shared" si="16"/>
        <v>-304.025</v>
      </c>
      <c r="AL37" s="27">
        <f t="shared" si="16"/>
        <v>-275.525</v>
      </c>
      <c r="AM37" s="27">
        <f t="shared" si="16"/>
        <v>-299.975</v>
      </c>
      <c r="AN37" s="27">
        <f t="shared" si="16"/>
        <v>-265.35</v>
      </c>
      <c r="AO37" s="27">
        <f t="shared" si="16"/>
        <v>-348.075</v>
      </c>
      <c r="AP37" s="27">
        <f t="shared" si="16"/>
        <v>-224.6</v>
      </c>
      <c r="AQ37" s="27">
        <f t="shared" si="16"/>
        <v>-258.075</v>
      </c>
      <c r="AR37" s="27">
        <f t="shared" si="16"/>
        <v>-295.925</v>
      </c>
      <c r="AS37" s="27">
        <f t="shared" si="16"/>
        <v>-247.9</v>
      </c>
      <c r="AT37" s="27">
        <f t="shared" si="16"/>
        <v>-229</v>
      </c>
      <c r="AU37" s="27">
        <f t="shared" si="16"/>
        <v>-303.075</v>
      </c>
      <c r="AV37" s="27">
        <f t="shared" si="16"/>
        <v>-331</v>
      </c>
      <c r="AW37" s="27">
        <f t="shared" si="16"/>
        <v>-313.5</v>
      </c>
      <c r="AX37" s="27">
        <f t="shared" si="16"/>
        <v>-286.375</v>
      </c>
      <c r="AY37" s="16"/>
      <c r="AZ37" s="17">
        <f t="shared" si="16"/>
        <v>-3263.075</v>
      </c>
      <c r="BA37" s="17">
        <f t="shared" si="16"/>
        <v>-3402.85</v>
      </c>
      <c r="BB37" s="17">
        <f t="shared" si="16"/>
        <v>-3607.021</v>
      </c>
    </row>
    <row r="38" ht="15" customHeight="1">
      <c r="B38" s="19" t="s">
        <v>40</v>
      </c>
      <c r="C38" s="20">
        <f t="shared" si="5"/>
        <v>400.05</v>
      </c>
      <c r="D38" s="20">
        <f t="shared" si="5"/>
        <v>337.875</v>
      </c>
      <c r="E38" s="20">
        <f t="shared" si="5"/>
        <v>630.75</v>
      </c>
      <c r="F38" s="20">
        <f t="shared" si="5"/>
        <v>758.025</v>
      </c>
      <c r="G38" s="20">
        <f t="shared" si="5"/>
        <v>760.875</v>
      </c>
      <c r="H38" s="20">
        <f t="shared" si="5"/>
        <v>581.85</v>
      </c>
      <c r="I38" s="20">
        <f t="shared" si="5"/>
        <v>544.275</v>
      </c>
      <c r="J38" s="20">
        <f t="shared" si="5"/>
        <v>378.3</v>
      </c>
      <c r="K38" s="20">
        <f t="shared" si="5"/>
        <v>560.625</v>
      </c>
      <c r="L38" s="20">
        <f t="shared" si="5"/>
        <v>508.125</v>
      </c>
      <c r="M38" s="20">
        <f t="shared" si="5"/>
        <v>546.15</v>
      </c>
      <c r="N38" s="20">
        <f t="shared" si="5"/>
        <v>475.5</v>
      </c>
      <c r="O38" s="20">
        <f t="shared" si="5"/>
        <v>462.075</v>
      </c>
      <c r="P38" s="20">
        <f t="shared" si="5"/>
        <v>517.425</v>
      </c>
      <c r="Q38" s="20">
        <f t="shared" si="5"/>
        <v>660.975</v>
      </c>
      <c r="R38" s="20">
        <f t="shared" si="5"/>
        <v>602.775</v>
      </c>
      <c r="S38" s="20">
        <f t="shared" si="5"/>
        <v>655.05</v>
      </c>
      <c r="T38" s="20">
        <f t="shared" si="5"/>
        <v>615.075</v>
      </c>
      <c r="U38" s="20">
        <f t="shared" si="5"/>
        <v>487.725</v>
      </c>
      <c r="V38" s="20">
        <f t="shared" si="5"/>
        <v>519.525</v>
      </c>
      <c r="W38" s="20">
        <f t="shared" si="5"/>
        <v>627.45</v>
      </c>
      <c r="X38" s="20">
        <f t="shared" si="5"/>
        <v>585.225</v>
      </c>
      <c r="Y38" s="20">
        <f t="shared" si="5"/>
        <v>610.65</v>
      </c>
      <c r="Z38" s="20">
        <f t="shared" si="5"/>
        <v>552.375</v>
      </c>
      <c r="AA38" s="20">
        <f t="shared" si="5"/>
        <v>612.975</v>
      </c>
      <c r="AB38" s="20">
        <f t="shared" si="5"/>
        <v>809.7</v>
      </c>
      <c r="AC38" s="20">
        <f t="shared" si="5"/>
        <v>1136.325</v>
      </c>
      <c r="AD38" s="20">
        <f t="shared" si="5"/>
        <v>830.1</v>
      </c>
      <c r="AE38" s="20">
        <f t="shared" si="5"/>
        <v>1002.975</v>
      </c>
      <c r="AF38" s="20">
        <f t="shared" si="5"/>
        <v>786.15</v>
      </c>
      <c r="AG38" s="20">
        <f t="shared" si="5"/>
        <v>580.8</v>
      </c>
      <c r="AH38" s="20">
        <f t="shared" si="5"/>
        <v>622.2</v>
      </c>
      <c r="AI38" s="20">
        <f t="shared" si="5"/>
        <v>825.15</v>
      </c>
      <c r="AJ38" s="20">
        <f t="shared" si="5"/>
        <v>844.2</v>
      </c>
      <c r="AK38" s="20">
        <f t="shared" si="5"/>
        <v>912.075</v>
      </c>
      <c r="AL38" s="20">
        <f t="shared" si="5"/>
        <v>826.575</v>
      </c>
      <c r="AM38" s="20">
        <f t="shared" si="5"/>
        <v>899.925</v>
      </c>
      <c r="AN38" s="20">
        <f t="shared" si="5"/>
        <v>796.05</v>
      </c>
      <c r="AO38" s="20">
        <f t="shared" si="5"/>
        <v>1044.225</v>
      </c>
      <c r="AP38" s="20">
        <f t="shared" si="5"/>
        <v>673.8</v>
      </c>
      <c r="AQ38" s="20">
        <f t="shared" si="5"/>
        <v>774.225</v>
      </c>
      <c r="AR38" s="20">
        <f t="shared" si="5"/>
        <v>887.775</v>
      </c>
      <c r="AS38" s="20">
        <f t="shared" si="5"/>
        <v>743.7</v>
      </c>
      <c r="AT38" s="20">
        <f t="shared" si="5"/>
        <v>687</v>
      </c>
      <c r="AU38" s="20">
        <f t="shared" si="5"/>
        <v>909.225</v>
      </c>
      <c r="AV38" s="20">
        <f t="shared" si="5"/>
        <v>993</v>
      </c>
      <c r="AW38" s="20">
        <f t="shared" si="5"/>
        <v>940.5</v>
      </c>
      <c r="AX38" s="20">
        <f t="shared" si="5"/>
        <v>859.125</v>
      </c>
      <c r="AY38" s="21"/>
      <c r="AZ38" s="22">
        <f t="shared" si="2"/>
        <v>9789.225</v>
      </c>
      <c r="BA38" s="22">
        <f t="shared" si="3"/>
        <v>10208.55</v>
      </c>
      <c r="BB38" s="22">
        <f t="shared" si="4"/>
        <v>10821.063</v>
      </c>
    </row>
    <row r="39" ht="15" customHeight="1">
      <c r="B39" s="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28"/>
      <c r="BA39" s="28"/>
      <c r="BB39" s="28"/>
    </row>
    <row r="40" ht="15" customHeight="1">
      <c r="B40" s="13" t="s">
        <v>41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30"/>
      <c r="BA40" s="30"/>
      <c r="BB40" s="30"/>
    </row>
    <row r="41" ht="15" customHeight="1">
      <c r="B41" s="1" t="s">
        <v>24</v>
      </c>
      <c r="C41" s="27" cm="1">
        <f t="array" ref="C41">C22</f>
        <v>922.5</v>
      </c>
      <c r="D41" s="27" cm="1">
        <f t="array" ref="D41">D22</f>
        <v>858.8</v>
      </c>
      <c r="E41" s="27" cm="1">
        <f t="array" ref="E41">E22</f>
        <v>986.6</v>
      </c>
      <c r="F41" s="27" cm="1">
        <f t="array" ref="F41">F22</f>
        <v>1019.3</v>
      </c>
      <c r="G41" s="27" cm="1">
        <f t="array" ref="G41">G22</f>
        <v>1071.8</v>
      </c>
      <c r="H41" s="27" cm="1">
        <f t="array" ref="H41">H22</f>
        <v>1127.6</v>
      </c>
      <c r="I41" s="27" cm="1">
        <f t="array" ref="I41">I22</f>
        <v>941.5</v>
      </c>
      <c r="J41" s="27" cm="1">
        <f t="array" ref="J41">J22</f>
        <v>918.4</v>
      </c>
      <c r="K41" s="27" cm="1">
        <f t="array" ref="K41">K22</f>
        <v>1177.9</v>
      </c>
      <c r="L41" s="27" cm="1">
        <f t="array" ref="L41">L22</f>
        <v>1102.1</v>
      </c>
      <c r="M41" s="27" cm="1">
        <f t="array" ref="M41">M22</f>
        <v>1165.7</v>
      </c>
      <c r="N41" s="27" cm="1">
        <f t="array" ref="N41">N22</f>
        <v>1066.6</v>
      </c>
      <c r="O41" s="27" cm="1">
        <f t="array" ref="O41">O22</f>
        <v>1052.5</v>
      </c>
      <c r="P41" s="27" cm="1">
        <f t="array" ref="P41">P22</f>
        <v>1130.8</v>
      </c>
      <c r="Q41" s="27" cm="1">
        <f t="array" ref="Q41">Q22</f>
        <v>1141.4</v>
      </c>
      <c r="R41" s="27" cm="1">
        <f t="array" ref="R41">R22</f>
        <v>1092.4</v>
      </c>
      <c r="S41" s="27" cm="1">
        <f t="array" ref="S41">S22</f>
        <v>1187.8</v>
      </c>
      <c r="T41" s="27" cm="1">
        <f t="array" ref="T41">T22</f>
        <v>1184.9</v>
      </c>
      <c r="U41" s="27" cm="1">
        <f t="array" ref="U41">U22</f>
        <v>1106.6</v>
      </c>
      <c r="V41" s="27" cm="1">
        <f t="array" ref="V41">V22</f>
        <v>1130.3</v>
      </c>
      <c r="W41" s="27" cm="1">
        <f t="array" ref="W41">W22</f>
        <v>1301.7</v>
      </c>
      <c r="X41" s="27" cm="1">
        <f t="array" ref="X41">X22</f>
        <v>1235.5</v>
      </c>
      <c r="Y41" s="27" cm="1">
        <f t="array" ref="Y41">Y22</f>
        <v>1291.6</v>
      </c>
      <c r="Z41" s="27" cm="1">
        <f t="array" ref="Z41">Z22</f>
        <v>1202.7</v>
      </c>
      <c r="AA41" s="27" cm="1">
        <f t="array" ref="AA41">AA22</f>
        <v>1290.1</v>
      </c>
      <c r="AB41" s="27" cm="1">
        <f t="array" ref="AB41">AB22</f>
        <v>1299.3</v>
      </c>
      <c r="AC41" s="27" cm="1">
        <f t="array" ref="AC41">AC22</f>
        <v>1416.2</v>
      </c>
      <c r="AD41" s="27" cm="1">
        <f t="array" ref="AD41">AD22</f>
        <v>1287.1</v>
      </c>
      <c r="AE41" s="27" cm="1">
        <f t="array" ref="AE41">AE22</f>
        <v>1478.2</v>
      </c>
      <c r="AF41" s="27" cm="1">
        <f t="array" ref="AF41">AF22</f>
        <v>1508.1</v>
      </c>
      <c r="AG41" s="27" cm="1">
        <f t="array" ref="AG41">AG22</f>
        <v>1257.5</v>
      </c>
      <c r="AH41" s="27" cm="1">
        <f t="array" ref="AH41">AH22</f>
        <v>1283</v>
      </c>
      <c r="AI41" s="27" cm="1">
        <f t="array" ref="AI41">AI22</f>
        <v>1580.6</v>
      </c>
      <c r="AJ41" s="27" cm="1">
        <f t="array" ref="AJ41">AJ22</f>
        <v>1614.3</v>
      </c>
      <c r="AK41" s="27" cm="1">
        <f t="array" ref="AK41">AK22</f>
        <v>1694.9</v>
      </c>
      <c r="AL41" s="27" cm="1">
        <f t="array" ref="AL41">AL22</f>
        <v>1596.9</v>
      </c>
      <c r="AM41" s="27" cm="1">
        <f t="array" ref="AM41">AM22</f>
        <v>1486.4</v>
      </c>
      <c r="AN41" s="27" cm="1">
        <f t="array" ref="AN41">AN22</f>
        <v>1479.1</v>
      </c>
      <c r="AO41" s="27" cm="1">
        <f t="array" ref="AO41">AO22</f>
        <v>1739</v>
      </c>
      <c r="AP41" s="27" cm="1">
        <f t="array" ref="AP41">AP22</f>
        <v>1410.9</v>
      </c>
      <c r="AQ41" s="27" cm="1">
        <f t="array" ref="AQ41">AQ22</f>
        <v>1538.5</v>
      </c>
      <c r="AR41" s="27" cm="1">
        <f t="array" ref="AR41">AR22</f>
        <v>1687.9</v>
      </c>
      <c r="AS41" s="27" cm="1">
        <f t="array" ref="AS41">AS22</f>
        <v>1488</v>
      </c>
      <c r="AT41" s="27" cm="1">
        <f t="array" ref="AT41">AT22</f>
        <v>1431.4</v>
      </c>
      <c r="AU41" s="27" cm="1">
        <f t="array" ref="AU41">AU22</f>
        <v>1728.2</v>
      </c>
      <c r="AV41" s="27" cm="1">
        <f t="array" ref="AV41">AV22</f>
        <v>1869.3</v>
      </c>
      <c r="AW41" s="27" cm="1">
        <f t="array" ref="AW41">AW22</f>
        <v>1796.9</v>
      </c>
      <c r="AX41" s="27" cm="1">
        <f t="array" ref="AX41">AX22</f>
        <v>1670.9</v>
      </c>
      <c r="AY41" s="16"/>
      <c r="AZ41" s="17">
        <f t="shared" si="2"/>
        <v>17306.2</v>
      </c>
      <c r="BA41" s="17">
        <f t="shared" si="3"/>
        <v>19326.5</v>
      </c>
      <c r="BB41" s="17">
        <f t="shared" si="4"/>
        <v>20486.09</v>
      </c>
    </row>
    <row r="42" ht="15" customHeight="1">
      <c r="B42" s="18" t="s">
        <v>42</v>
      </c>
      <c r="C42" s="15">
        <v>122.5</v>
      </c>
      <c r="D42" s="15">
        <v>101.6</v>
      </c>
      <c r="E42" s="15">
        <v>112.3</v>
      </c>
      <c r="F42" s="15">
        <v>105.3</v>
      </c>
      <c r="G42" s="15">
        <v>105.8</v>
      </c>
      <c r="H42" s="15">
        <v>78.6</v>
      </c>
      <c r="I42" s="15">
        <v>109</v>
      </c>
      <c r="J42" s="15">
        <v>88.2</v>
      </c>
      <c r="K42" s="15">
        <v>100.6</v>
      </c>
      <c r="L42" s="15">
        <v>111</v>
      </c>
      <c r="M42" s="15">
        <v>103.5</v>
      </c>
      <c r="N42" s="15">
        <v>87.5</v>
      </c>
      <c r="O42" s="15">
        <v>104.4</v>
      </c>
      <c r="P42" s="15">
        <v>90.6</v>
      </c>
      <c r="Q42" s="15">
        <v>95.8</v>
      </c>
      <c r="R42" s="15">
        <v>75.9</v>
      </c>
      <c r="S42" s="15">
        <v>65.8</v>
      </c>
      <c r="T42" s="15">
        <v>84.5</v>
      </c>
      <c r="U42" s="15">
        <v>81.7</v>
      </c>
      <c r="V42" s="15">
        <v>75.2</v>
      </c>
      <c r="W42" s="15">
        <v>102.1</v>
      </c>
      <c r="X42" s="15">
        <v>93.3</v>
      </c>
      <c r="Y42" s="15">
        <v>86.9</v>
      </c>
      <c r="Z42" s="15">
        <v>93.8</v>
      </c>
      <c r="AA42" s="15">
        <v>89.5</v>
      </c>
      <c r="AB42" s="15">
        <v>101.5</v>
      </c>
      <c r="AC42" s="15">
        <v>71.7</v>
      </c>
      <c r="AD42" s="15">
        <v>100.6</v>
      </c>
      <c r="AE42" s="15">
        <v>106.6</v>
      </c>
      <c r="AF42" s="15">
        <v>108.1</v>
      </c>
      <c r="AG42" s="15">
        <v>85</v>
      </c>
      <c r="AH42" s="15">
        <v>112.6</v>
      </c>
      <c r="AI42" s="15">
        <v>71.3</v>
      </c>
      <c r="AJ42" s="15">
        <v>106.7</v>
      </c>
      <c r="AK42" s="15">
        <v>92.6</v>
      </c>
      <c r="AL42" s="15">
        <v>70.5</v>
      </c>
      <c r="AM42" s="15">
        <v>83.5</v>
      </c>
      <c r="AN42" s="15">
        <v>112.1</v>
      </c>
      <c r="AO42" s="15">
        <v>94.8</v>
      </c>
      <c r="AP42" s="15">
        <v>102.3</v>
      </c>
      <c r="AQ42" s="15">
        <v>128.8</v>
      </c>
      <c r="AR42" s="15">
        <v>100.9</v>
      </c>
      <c r="AS42" s="15">
        <v>93.2</v>
      </c>
      <c r="AT42" s="15">
        <v>91.1</v>
      </c>
      <c r="AU42" s="15">
        <v>99.6</v>
      </c>
      <c r="AV42" s="15">
        <v>94.9</v>
      </c>
      <c r="AW42" s="15">
        <v>89.7</v>
      </c>
      <c r="AX42" s="15">
        <v>89.2</v>
      </c>
      <c r="AY42" s="16"/>
      <c r="AZ42" s="17">
        <f t="shared" si="2"/>
        <v>1116.7</v>
      </c>
      <c r="BA42" s="17">
        <f t="shared" si="3"/>
        <v>1180.1</v>
      </c>
      <c r="BB42" s="17">
        <f t="shared" si="4"/>
        <v>1250.906</v>
      </c>
    </row>
    <row r="43" ht="15" customHeight="1">
      <c r="B43" s="18" t="s">
        <v>43</v>
      </c>
      <c r="C43" s="15">
        <v>-567.1</v>
      </c>
      <c r="D43" s="15">
        <v>-492.3</v>
      </c>
      <c r="E43" s="15">
        <v>-378.3</v>
      </c>
      <c r="F43" s="15">
        <v>145.2</v>
      </c>
      <c r="G43" s="15">
        <v>-324.3</v>
      </c>
      <c r="H43" s="15">
        <v>-42.5</v>
      </c>
      <c r="I43" s="15">
        <v>-636.7</v>
      </c>
      <c r="J43" s="15">
        <v>-585.1</v>
      </c>
      <c r="K43" s="15">
        <v>-362.4</v>
      </c>
      <c r="L43" s="15">
        <v>69</v>
      </c>
      <c r="M43" s="15">
        <v>90.6</v>
      </c>
      <c r="N43" s="15">
        <v>73</v>
      </c>
      <c r="O43" s="15">
        <v>-338.8</v>
      </c>
      <c r="P43" s="15">
        <v>-97.3</v>
      </c>
      <c r="Q43" s="15">
        <v>-152.8</v>
      </c>
      <c r="R43" s="15">
        <v>-151</v>
      </c>
      <c r="S43" s="15">
        <v>-523.2</v>
      </c>
      <c r="T43" s="15">
        <v>306.2</v>
      </c>
      <c r="U43" s="15">
        <v>-436.8</v>
      </c>
      <c r="V43" s="15">
        <v>396.6</v>
      </c>
      <c r="W43" s="15">
        <v>351.8</v>
      </c>
      <c r="X43" s="15">
        <v>-631.3</v>
      </c>
      <c r="Y43" s="15">
        <v>-158.9</v>
      </c>
      <c r="Z43" s="15">
        <v>227.3</v>
      </c>
      <c r="AA43" s="15">
        <v>385.9</v>
      </c>
      <c r="AB43" s="15">
        <v>-169.1</v>
      </c>
      <c r="AC43" s="15">
        <v>-362.5</v>
      </c>
      <c r="AD43" s="15">
        <v>-425.5</v>
      </c>
      <c r="AE43" s="15">
        <v>361.8</v>
      </c>
      <c r="AF43" s="15">
        <v>-424.5</v>
      </c>
      <c r="AG43" s="15">
        <v>-27.8</v>
      </c>
      <c r="AH43" s="15">
        <v>-498.3</v>
      </c>
      <c r="AI43" s="15">
        <v>-89.2</v>
      </c>
      <c r="AJ43" s="15">
        <v>369.4</v>
      </c>
      <c r="AK43" s="15">
        <v>-508.1</v>
      </c>
      <c r="AL43" s="15">
        <v>227.6</v>
      </c>
      <c r="AM43" s="15">
        <v>-105.6</v>
      </c>
      <c r="AN43" s="15">
        <v>298.9</v>
      </c>
      <c r="AO43" s="15">
        <v>102.6</v>
      </c>
      <c r="AP43" s="15">
        <v>-402.4</v>
      </c>
      <c r="AQ43" s="15">
        <v>310.5</v>
      </c>
      <c r="AR43" s="15">
        <v>-129.8</v>
      </c>
      <c r="AS43" s="15">
        <v>-623.4</v>
      </c>
      <c r="AT43" s="15">
        <v>-646.2</v>
      </c>
      <c r="AU43" s="15">
        <v>-123.9</v>
      </c>
      <c r="AV43" s="15">
        <v>-167.7</v>
      </c>
      <c r="AW43" s="15">
        <v>-326.9</v>
      </c>
      <c r="AX43" s="15">
        <v>-499.4</v>
      </c>
      <c r="AY43" s="16"/>
      <c r="AZ43" s="17">
        <f t="shared" si="2"/>
        <v>-1160.3</v>
      </c>
      <c r="BA43" s="17">
        <f t="shared" si="3"/>
        <v>-2313.3</v>
      </c>
      <c r="BB43" s="17">
        <f t="shared" si="4"/>
        <v>-2452.098</v>
      </c>
    </row>
    <row r="44" ht="15" customHeight="1">
      <c r="B44" s="18" t="s">
        <v>44</v>
      </c>
      <c r="C44" s="15">
        <v>-38.4</v>
      </c>
      <c r="D44" s="15">
        <v>-42.6</v>
      </c>
      <c r="E44" s="15">
        <v>36</v>
      </c>
      <c r="F44" s="15">
        <v>-89.7</v>
      </c>
      <c r="G44" s="15">
        <v>22.6</v>
      </c>
      <c r="H44" s="15">
        <v>35.9</v>
      </c>
      <c r="I44" s="15">
        <v>-72</v>
      </c>
      <c r="J44" s="15">
        <v>49</v>
      </c>
      <c r="K44" s="15">
        <v>17</v>
      </c>
      <c r="L44" s="15">
        <v>45.2</v>
      </c>
      <c r="M44" s="15">
        <v>-46.5</v>
      </c>
      <c r="N44" s="15">
        <v>-34.2</v>
      </c>
      <c r="O44" s="15">
        <v>-31.1</v>
      </c>
      <c r="P44" s="15">
        <v>59.8</v>
      </c>
      <c r="Q44" s="15">
        <v>-1.6</v>
      </c>
      <c r="R44" s="15">
        <v>-35.9</v>
      </c>
      <c r="S44" s="15">
        <v>-25.8</v>
      </c>
      <c r="T44" s="15">
        <v>-48.7</v>
      </c>
      <c r="U44" s="15">
        <v>-82.8</v>
      </c>
      <c r="V44" s="15">
        <v>-74.7</v>
      </c>
      <c r="W44" s="15">
        <v>35.2</v>
      </c>
      <c r="X44" s="15">
        <v>-47.2</v>
      </c>
      <c r="Y44" s="15">
        <v>50.3</v>
      </c>
      <c r="Z44" s="15">
        <v>-52.6</v>
      </c>
      <c r="AA44" s="15">
        <v>-50.1</v>
      </c>
      <c r="AB44" s="15">
        <v>-13.4</v>
      </c>
      <c r="AC44" s="15">
        <v>-61.5</v>
      </c>
      <c r="AD44" s="15">
        <v>-34</v>
      </c>
      <c r="AE44" s="15">
        <v>53.4</v>
      </c>
      <c r="AF44" s="15">
        <v>42.6</v>
      </c>
      <c r="AG44" s="15">
        <v>31.8</v>
      </c>
      <c r="AH44" s="15">
        <v>4.6</v>
      </c>
      <c r="AI44" s="15">
        <v>47</v>
      </c>
      <c r="AJ44" s="15">
        <v>51.1</v>
      </c>
      <c r="AK44" s="15">
        <v>-7.6</v>
      </c>
      <c r="AL44" s="15">
        <v>17.9</v>
      </c>
      <c r="AM44" s="15">
        <v>-82.6</v>
      </c>
      <c r="AN44" s="15">
        <v>19.9</v>
      </c>
      <c r="AO44" s="15">
        <v>-22.4</v>
      </c>
      <c r="AP44" s="15">
        <v>22.9</v>
      </c>
      <c r="AQ44" s="15">
        <v>6.7</v>
      </c>
      <c r="AR44" s="15">
        <v>-47.1</v>
      </c>
      <c r="AS44" s="15">
        <v>-82.7</v>
      </c>
      <c r="AT44" s="15">
        <v>49</v>
      </c>
      <c r="AU44" s="15">
        <v>-70.9</v>
      </c>
      <c r="AV44" s="15">
        <v>-19.2</v>
      </c>
      <c r="AW44" s="15">
        <v>-38.5</v>
      </c>
      <c r="AX44" s="15">
        <v>-45.3</v>
      </c>
      <c r="AY44" s="16"/>
      <c r="AZ44" s="17">
        <f t="shared" si="2"/>
        <v>81.8</v>
      </c>
      <c r="BA44" s="17">
        <f t="shared" si="3"/>
        <v>-310.2</v>
      </c>
      <c r="BB44" s="17">
        <f t="shared" si="4"/>
        <v>-328.812</v>
      </c>
    </row>
    <row r="45" ht="15" customHeight="1">
      <c r="B45" s="19" t="s">
        <v>45</v>
      </c>
      <c r="C45" s="20">
        <f t="shared" si="7"/>
        <v>439.5</v>
      </c>
      <c r="D45" s="20">
        <f t="shared" si="7"/>
        <v>425.5</v>
      </c>
      <c r="E45" s="20">
        <f t="shared" si="7"/>
        <v>756.6</v>
      </c>
      <c r="F45" s="20">
        <f t="shared" si="7"/>
        <v>1180.1</v>
      </c>
      <c r="G45" s="20">
        <f t="shared" si="7"/>
        <v>875.9</v>
      </c>
      <c r="H45" s="20">
        <f t="shared" si="7"/>
        <v>1199.6</v>
      </c>
      <c r="I45" s="20">
        <f t="shared" si="7"/>
        <v>341.8</v>
      </c>
      <c r="J45" s="20">
        <f t="shared" si="7"/>
        <v>470.5</v>
      </c>
      <c r="K45" s="20">
        <f t="shared" si="7"/>
        <v>933.1</v>
      </c>
      <c r="L45" s="20">
        <f t="shared" si="7"/>
        <v>1327.3</v>
      </c>
      <c r="M45" s="20">
        <f t="shared" si="7"/>
        <v>1313.3</v>
      </c>
      <c r="N45" s="20">
        <f t="shared" si="7"/>
        <v>1192.9</v>
      </c>
      <c r="O45" s="20">
        <f t="shared" si="7"/>
        <v>787</v>
      </c>
      <c r="P45" s="20">
        <f t="shared" si="7"/>
        <v>1183.9</v>
      </c>
      <c r="Q45" s="20">
        <f t="shared" si="7"/>
        <v>1082.8</v>
      </c>
      <c r="R45" s="20">
        <f t="shared" si="7"/>
        <v>981.4</v>
      </c>
      <c r="S45" s="20">
        <f t="shared" si="7"/>
        <v>704.6</v>
      </c>
      <c r="T45" s="20">
        <f t="shared" si="7"/>
        <v>1526.9</v>
      </c>
      <c r="U45" s="20">
        <f t="shared" si="7"/>
        <v>668.7</v>
      </c>
      <c r="V45" s="20">
        <f t="shared" si="7"/>
        <v>1527.4</v>
      </c>
      <c r="W45" s="20">
        <f t="shared" si="7"/>
        <v>1790.8</v>
      </c>
      <c r="X45" s="20">
        <f t="shared" si="7"/>
        <v>650.3</v>
      </c>
      <c r="Y45" s="20">
        <f t="shared" si="7"/>
        <v>1269.9</v>
      </c>
      <c r="Z45" s="20">
        <f t="shared" si="7"/>
        <v>1471.2</v>
      </c>
      <c r="AA45" s="20">
        <f t="shared" si="7"/>
        <v>1715.4</v>
      </c>
      <c r="AB45" s="20">
        <f t="shared" si="7"/>
        <v>1218.3</v>
      </c>
      <c r="AC45" s="20">
        <f t="shared" si="7"/>
        <v>1063.9</v>
      </c>
      <c r="AD45" s="20">
        <f t="shared" si="7"/>
        <v>928.2</v>
      </c>
      <c r="AE45" s="20">
        <f t="shared" si="7"/>
        <v>2000</v>
      </c>
      <c r="AF45" s="20">
        <f t="shared" si="7"/>
        <v>1234.3</v>
      </c>
      <c r="AG45" s="20">
        <f t="shared" si="7"/>
        <v>1346.5</v>
      </c>
      <c r="AH45" s="20">
        <f t="shared" si="7"/>
        <v>901.9</v>
      </c>
      <c r="AI45" s="20">
        <f t="shared" si="7"/>
        <v>1609.7</v>
      </c>
      <c r="AJ45" s="20">
        <f t="shared" si="7"/>
        <v>2141.5</v>
      </c>
      <c r="AK45" s="20">
        <f t="shared" si="7"/>
        <v>1271.8</v>
      </c>
      <c r="AL45" s="20">
        <f t="shared" si="7"/>
        <v>1912.9</v>
      </c>
      <c r="AM45" s="20">
        <f t="shared" si="7"/>
        <v>1381.7</v>
      </c>
      <c r="AN45" s="20">
        <f t="shared" si="7"/>
        <v>1910</v>
      </c>
      <c r="AO45" s="20">
        <f t="shared" si="7"/>
        <v>1914</v>
      </c>
      <c r="AP45" s="20">
        <f t="shared" si="7"/>
        <v>1133.7</v>
      </c>
      <c r="AQ45" s="20">
        <f t="shared" si="7"/>
        <v>1984.5</v>
      </c>
      <c r="AR45" s="20">
        <f t="shared" si="7"/>
        <v>1611.9</v>
      </c>
      <c r="AS45" s="20">
        <f t="shared" si="7"/>
        <v>875.1</v>
      </c>
      <c r="AT45" s="20">
        <f t="shared" si="7"/>
        <v>925.3</v>
      </c>
      <c r="AU45" s="20">
        <f t="shared" si="7"/>
        <v>1633</v>
      </c>
      <c r="AV45" s="20">
        <f t="shared" si="7"/>
        <v>1777.3</v>
      </c>
      <c r="AW45" s="20">
        <f t="shared" si="7"/>
        <v>1521.2</v>
      </c>
      <c r="AX45" s="20">
        <f t="shared" si="7"/>
        <v>1215.4</v>
      </c>
      <c r="AY45" s="21"/>
      <c r="AZ45" s="22">
        <f t="shared" si="2"/>
        <v>17344.4</v>
      </c>
      <c r="BA45" s="22">
        <f t="shared" si="3"/>
        <v>17883.1</v>
      </c>
      <c r="BB45" s="22">
        <f t="shared" si="4"/>
        <v>18956.086</v>
      </c>
    </row>
    <row r="46" ht="15" customHeight="1">
      <c r="B46" s="18" t="s">
        <v>46</v>
      </c>
      <c r="C46" s="16">
        <v>0</v>
      </c>
      <c r="D46" s="16">
        <v>0</v>
      </c>
      <c r="E46" s="15">
        <v>-916.6</v>
      </c>
      <c r="F46" s="16">
        <v>0</v>
      </c>
      <c r="G46" s="16">
        <v>0</v>
      </c>
      <c r="H46" s="15">
        <v>-1007.9</v>
      </c>
      <c r="I46" s="16">
        <v>0</v>
      </c>
      <c r="J46" s="16">
        <v>0</v>
      </c>
      <c r="K46" s="15">
        <v>-823.9</v>
      </c>
      <c r="L46" s="16">
        <v>0</v>
      </c>
      <c r="M46" s="16">
        <v>0</v>
      </c>
      <c r="N46" s="15">
        <v>-892.3</v>
      </c>
      <c r="O46" s="16">
        <v>0</v>
      </c>
      <c r="P46" s="16">
        <v>0</v>
      </c>
      <c r="Q46" s="15">
        <v>-879.9</v>
      </c>
      <c r="R46" s="16">
        <v>0</v>
      </c>
      <c r="S46" s="16">
        <v>0</v>
      </c>
      <c r="T46" s="15">
        <v>-1015.5</v>
      </c>
      <c r="U46" s="16">
        <v>0</v>
      </c>
      <c r="V46" s="16">
        <v>0</v>
      </c>
      <c r="W46" s="15">
        <v>-983.1</v>
      </c>
      <c r="X46" s="16">
        <v>0</v>
      </c>
      <c r="Y46" s="16">
        <v>0</v>
      </c>
      <c r="Z46" s="15">
        <v>-855.5</v>
      </c>
      <c r="AA46" s="16">
        <v>0</v>
      </c>
      <c r="AB46" s="16">
        <v>0</v>
      </c>
      <c r="AC46" s="15">
        <v>-934</v>
      </c>
      <c r="AD46" s="16">
        <v>0</v>
      </c>
      <c r="AE46" s="16">
        <v>0</v>
      </c>
      <c r="AF46" s="15">
        <v>-987.2</v>
      </c>
      <c r="AG46" s="16">
        <v>0</v>
      </c>
      <c r="AH46" s="16">
        <v>0</v>
      </c>
      <c r="AI46" s="15">
        <v>-1236.8</v>
      </c>
      <c r="AJ46" s="16">
        <v>0</v>
      </c>
      <c r="AK46" s="16">
        <v>0</v>
      </c>
      <c r="AL46" s="15">
        <v>-1032.3</v>
      </c>
      <c r="AM46" s="16">
        <v>0</v>
      </c>
      <c r="AN46" s="16">
        <v>0</v>
      </c>
      <c r="AO46" s="15">
        <v>-1038.9</v>
      </c>
      <c r="AP46" s="16">
        <v>0</v>
      </c>
      <c r="AQ46" s="16">
        <v>0</v>
      </c>
      <c r="AR46" s="15">
        <v>-1317.4</v>
      </c>
      <c r="AS46" s="16">
        <v>0</v>
      </c>
      <c r="AT46" s="16">
        <v>0</v>
      </c>
      <c r="AU46" s="15">
        <v>-1360</v>
      </c>
      <c r="AV46" s="16">
        <v>0</v>
      </c>
      <c r="AW46" s="16">
        <v>0</v>
      </c>
      <c r="AX46" s="15">
        <v>-1131.1</v>
      </c>
      <c r="AY46" s="16"/>
      <c r="AZ46" s="17">
        <f t="shared" si="2"/>
        <v>-4190.3</v>
      </c>
      <c r="BA46" s="17">
        <f t="shared" si="3"/>
        <v>-4847.4</v>
      </c>
      <c r="BB46" s="17">
        <f t="shared" si="4"/>
        <v>-5138.244</v>
      </c>
    </row>
    <row r="47" ht="15" customHeight="1">
      <c r="B47" s="18" t="s">
        <v>47</v>
      </c>
      <c r="C47" s="15">
        <v>-40.3</v>
      </c>
      <c r="D47" s="15">
        <v>-41.8</v>
      </c>
      <c r="E47" s="15">
        <v>-45.4</v>
      </c>
      <c r="F47" s="15">
        <v>-47.3</v>
      </c>
      <c r="G47" s="15">
        <v>-44.9</v>
      </c>
      <c r="H47" s="15">
        <v>-49.4</v>
      </c>
      <c r="I47" s="15">
        <v>-43.3</v>
      </c>
      <c r="J47" s="15">
        <v>-47.1</v>
      </c>
      <c r="K47" s="15">
        <v>-61.8</v>
      </c>
      <c r="L47" s="15">
        <v>-62</v>
      </c>
      <c r="M47" s="15">
        <v>-55</v>
      </c>
      <c r="N47" s="15">
        <v>-50.9</v>
      </c>
      <c r="O47" s="15">
        <v>-51.5</v>
      </c>
      <c r="P47" s="15">
        <v>-50.8</v>
      </c>
      <c r="Q47" s="15">
        <v>-54.6</v>
      </c>
      <c r="R47" s="15">
        <v>-47.5</v>
      </c>
      <c r="S47" s="15">
        <v>-53.7</v>
      </c>
      <c r="T47" s="15">
        <v>-71</v>
      </c>
      <c r="U47" s="15">
        <v>-46.4</v>
      </c>
      <c r="V47" s="15">
        <v>-51</v>
      </c>
      <c r="W47" s="15">
        <v>-65.2</v>
      </c>
      <c r="X47" s="15">
        <v>-70.7</v>
      </c>
      <c r="Y47" s="15">
        <v>-58.7</v>
      </c>
      <c r="Z47" s="15">
        <v>-54.2</v>
      </c>
      <c r="AA47" s="15">
        <v>-51.7</v>
      </c>
      <c r="AB47" s="15">
        <v>-55.3</v>
      </c>
      <c r="AC47" s="15">
        <v>-63</v>
      </c>
      <c r="AD47" s="15">
        <v>-72.2</v>
      </c>
      <c r="AE47" s="15">
        <v>-70.5</v>
      </c>
      <c r="AF47" s="15">
        <v>-75</v>
      </c>
      <c r="AG47" s="15">
        <v>-49.3</v>
      </c>
      <c r="AH47" s="15">
        <v>-47.2</v>
      </c>
      <c r="AI47" s="15">
        <v>-72.4</v>
      </c>
      <c r="AJ47" s="15">
        <v>-78.2</v>
      </c>
      <c r="AK47" s="15">
        <v>-68.3</v>
      </c>
      <c r="AL47" s="15">
        <v>-65.4</v>
      </c>
      <c r="AM47" s="15">
        <v>-52.1</v>
      </c>
      <c r="AN47" s="15">
        <v>-60.8</v>
      </c>
      <c r="AO47" s="15">
        <v>-79.9</v>
      </c>
      <c r="AP47" s="15">
        <v>-74.8</v>
      </c>
      <c r="AQ47" s="15">
        <v>-77.6</v>
      </c>
      <c r="AR47" s="15">
        <v>-83.4</v>
      </c>
      <c r="AS47" s="15">
        <v>-58.5</v>
      </c>
      <c r="AT47" s="15">
        <v>-53.3</v>
      </c>
      <c r="AU47" s="15">
        <v>-64.2</v>
      </c>
      <c r="AV47" s="15">
        <v>-76.5</v>
      </c>
      <c r="AW47" s="15">
        <v>-80.5</v>
      </c>
      <c r="AX47" s="15">
        <v>-81.1</v>
      </c>
      <c r="AY47" s="16"/>
      <c r="AZ47" s="17">
        <f t="shared" si="2"/>
        <v>-768.5</v>
      </c>
      <c r="BA47" s="17">
        <f t="shared" si="3"/>
        <v>-842.7</v>
      </c>
      <c r="BB47" s="17">
        <f t="shared" si="4"/>
        <v>-893.262</v>
      </c>
    </row>
    <row r="48" ht="15" customHeight="1">
      <c r="B48" s="18" t="s">
        <v>48</v>
      </c>
      <c r="C48" s="16">
        <v>0</v>
      </c>
      <c r="D48" s="15">
        <v>-200.6</v>
      </c>
      <c r="E48" s="16">
        <v>0</v>
      </c>
      <c r="F48" s="16">
        <v>0</v>
      </c>
      <c r="G48" s="16">
        <v>0</v>
      </c>
      <c r="H48" s="15">
        <v>-222.8</v>
      </c>
      <c r="I48" s="16">
        <v>0</v>
      </c>
      <c r="J48" s="16">
        <v>0</v>
      </c>
      <c r="K48" s="16">
        <v>0</v>
      </c>
      <c r="L48" s="15">
        <v>-252.7</v>
      </c>
      <c r="M48" s="16">
        <v>0</v>
      </c>
      <c r="N48" s="16">
        <v>0</v>
      </c>
      <c r="O48" s="16">
        <v>0</v>
      </c>
      <c r="P48" s="15">
        <v>-192.9</v>
      </c>
      <c r="Q48" s="16">
        <v>0</v>
      </c>
      <c r="R48" s="16">
        <v>0</v>
      </c>
      <c r="S48" s="16">
        <v>0</v>
      </c>
      <c r="T48" s="15">
        <v>-238.2</v>
      </c>
      <c r="U48" s="16">
        <v>0</v>
      </c>
      <c r="V48" s="16">
        <v>0</v>
      </c>
      <c r="W48" s="16">
        <v>0</v>
      </c>
      <c r="X48" s="15">
        <v>-163.8</v>
      </c>
      <c r="Y48" s="16">
        <v>0</v>
      </c>
      <c r="Z48" s="16">
        <v>0</v>
      </c>
      <c r="AA48" s="16">
        <v>0</v>
      </c>
      <c r="AB48" s="15">
        <v>-255.1</v>
      </c>
      <c r="AC48" s="16">
        <v>0</v>
      </c>
      <c r="AD48" s="16">
        <v>0</v>
      </c>
      <c r="AE48" s="16">
        <v>0</v>
      </c>
      <c r="AF48" s="15">
        <v>-205.7</v>
      </c>
      <c r="AG48" s="16">
        <v>0</v>
      </c>
      <c r="AH48" s="16">
        <v>0</v>
      </c>
      <c r="AI48" s="16">
        <v>0</v>
      </c>
      <c r="AJ48" s="15">
        <v>-331.6</v>
      </c>
      <c r="AK48" s="16">
        <v>0</v>
      </c>
      <c r="AL48" s="16">
        <v>0</v>
      </c>
      <c r="AM48" s="16">
        <v>0</v>
      </c>
      <c r="AN48" s="15">
        <v>-259.7</v>
      </c>
      <c r="AO48" s="16">
        <v>0</v>
      </c>
      <c r="AP48" s="16">
        <v>0</v>
      </c>
      <c r="AQ48" s="16">
        <v>0</v>
      </c>
      <c r="AR48" s="15">
        <v>-234.9</v>
      </c>
      <c r="AS48" s="16">
        <v>0</v>
      </c>
      <c r="AT48" s="16">
        <v>0</v>
      </c>
      <c r="AU48" s="16">
        <v>0</v>
      </c>
      <c r="AV48" s="15">
        <v>-214.1</v>
      </c>
      <c r="AW48" s="16">
        <v>0</v>
      </c>
      <c r="AX48" s="16">
        <v>0</v>
      </c>
      <c r="AY48" s="16"/>
      <c r="AZ48" s="17">
        <f t="shared" si="2"/>
        <v>-792.4</v>
      </c>
      <c r="BA48" s="17">
        <f t="shared" si="3"/>
        <v>-708.7</v>
      </c>
      <c r="BB48" s="17">
        <f t="shared" si="4"/>
        <v>-751.222</v>
      </c>
    </row>
    <row r="49" ht="15" customHeight="1">
      <c r="B49" s="19" t="s">
        <v>49</v>
      </c>
      <c r="C49" s="20">
        <f t="shared" si="5"/>
        <v>-40.3</v>
      </c>
      <c r="D49" s="20">
        <f t="shared" si="5"/>
        <v>-242.4</v>
      </c>
      <c r="E49" s="20">
        <f t="shared" si="5"/>
        <v>-45.4</v>
      </c>
      <c r="F49" s="20">
        <f t="shared" si="5"/>
        <v>-47.3</v>
      </c>
      <c r="G49" s="20">
        <f t="shared" si="5"/>
        <v>-44.9</v>
      </c>
      <c r="H49" s="20">
        <f t="shared" si="5"/>
        <v>-272.2</v>
      </c>
      <c r="I49" s="20">
        <f t="shared" si="5"/>
        <v>-43.3</v>
      </c>
      <c r="J49" s="20">
        <f t="shared" si="5"/>
        <v>-47.1</v>
      </c>
      <c r="K49" s="20">
        <f t="shared" si="5"/>
        <v>-61.8</v>
      </c>
      <c r="L49" s="20">
        <f t="shared" si="5"/>
        <v>-314.7</v>
      </c>
      <c r="M49" s="20">
        <f t="shared" si="5"/>
        <v>-55</v>
      </c>
      <c r="N49" s="20">
        <f t="shared" si="5"/>
        <v>-50.9</v>
      </c>
      <c r="O49" s="20">
        <f t="shared" si="5"/>
        <v>-51.5</v>
      </c>
      <c r="P49" s="20">
        <f t="shared" si="5"/>
        <v>-243.7</v>
      </c>
      <c r="Q49" s="20">
        <f t="shared" si="5"/>
        <v>-54.6</v>
      </c>
      <c r="R49" s="20">
        <f t="shared" si="5"/>
        <v>-47.5</v>
      </c>
      <c r="S49" s="20">
        <f t="shared" si="5"/>
        <v>-53.7</v>
      </c>
      <c r="T49" s="20">
        <f t="shared" si="5"/>
        <v>-309.2</v>
      </c>
      <c r="U49" s="20">
        <f t="shared" si="5"/>
        <v>-46.4</v>
      </c>
      <c r="V49" s="20">
        <f t="shared" si="5"/>
        <v>-51</v>
      </c>
      <c r="W49" s="20">
        <f t="shared" si="5"/>
        <v>-65.2</v>
      </c>
      <c r="X49" s="20">
        <f t="shared" si="5"/>
        <v>-234.5</v>
      </c>
      <c r="Y49" s="20">
        <f t="shared" si="5"/>
        <v>-58.7</v>
      </c>
      <c r="Z49" s="20">
        <f t="shared" si="5"/>
        <v>-54.2</v>
      </c>
      <c r="AA49" s="20">
        <f t="shared" si="5"/>
        <v>-51.7</v>
      </c>
      <c r="AB49" s="20">
        <f t="shared" si="5"/>
        <v>-310.4</v>
      </c>
      <c r="AC49" s="20">
        <f t="shared" si="5"/>
        <v>-63</v>
      </c>
      <c r="AD49" s="20">
        <f t="shared" si="5"/>
        <v>-72.2</v>
      </c>
      <c r="AE49" s="20">
        <f t="shared" si="5"/>
        <v>-70.5</v>
      </c>
      <c r="AF49" s="20">
        <f t="shared" si="5"/>
        <v>-280.7</v>
      </c>
      <c r="AG49" s="20">
        <f t="shared" si="5"/>
        <v>-49.3</v>
      </c>
      <c r="AH49" s="20">
        <f t="shared" si="5"/>
        <v>-47.2</v>
      </c>
      <c r="AI49" s="20">
        <f t="shared" si="5"/>
        <v>-72.4</v>
      </c>
      <c r="AJ49" s="20">
        <f t="shared" si="5"/>
        <v>-409.8</v>
      </c>
      <c r="AK49" s="20">
        <f t="shared" si="5"/>
        <v>-68.3</v>
      </c>
      <c r="AL49" s="20">
        <f t="shared" si="5"/>
        <v>-65.4</v>
      </c>
      <c r="AM49" s="20">
        <f t="shared" si="5"/>
        <v>-52.1</v>
      </c>
      <c r="AN49" s="20">
        <f t="shared" si="5"/>
        <v>-320.5</v>
      </c>
      <c r="AO49" s="20">
        <f t="shared" si="5"/>
        <v>-79.9</v>
      </c>
      <c r="AP49" s="20">
        <f t="shared" si="5"/>
        <v>-74.8</v>
      </c>
      <c r="AQ49" s="20">
        <f t="shared" si="5"/>
        <v>-77.6</v>
      </c>
      <c r="AR49" s="20">
        <f t="shared" si="5"/>
        <v>-318.3</v>
      </c>
      <c r="AS49" s="20">
        <f t="shared" si="5"/>
        <v>-58.5</v>
      </c>
      <c r="AT49" s="20">
        <f t="shared" si="5"/>
        <v>-53.3</v>
      </c>
      <c r="AU49" s="20">
        <f t="shared" si="5"/>
        <v>-64.2</v>
      </c>
      <c r="AV49" s="20">
        <f t="shared" si="5"/>
        <v>-290.6</v>
      </c>
      <c r="AW49" s="20">
        <f t="shared" si="5"/>
        <v>-80.5</v>
      </c>
      <c r="AX49" s="20">
        <f t="shared" si="5"/>
        <v>-81.1</v>
      </c>
      <c r="AY49" s="21"/>
      <c r="AZ49" s="22">
        <f t="shared" si="2"/>
        <v>-1560.9</v>
      </c>
      <c r="BA49" s="22">
        <f t="shared" si="3"/>
        <v>-1551.4</v>
      </c>
      <c r="BB49" s="22">
        <f t="shared" si="4"/>
        <v>-1644.484</v>
      </c>
    </row>
    <row r="50" ht="15" customHeight="1">
      <c r="B50" s="18" t="s">
        <v>50</v>
      </c>
      <c r="C50" s="16">
        <v>0</v>
      </c>
      <c r="D50" s="16">
        <v>0</v>
      </c>
      <c r="E50" s="15">
        <v>-224.4</v>
      </c>
      <c r="F50" s="15">
        <v>-288.6</v>
      </c>
      <c r="G50" s="15">
        <v>-263.7</v>
      </c>
      <c r="H50" s="15">
        <v>-60.4</v>
      </c>
      <c r="I50" s="15">
        <v>-160.9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5">
        <v>-176.5</v>
      </c>
      <c r="R50" s="15">
        <v>-159.1</v>
      </c>
      <c r="S50" s="15">
        <v>-115.1</v>
      </c>
      <c r="T50" s="15">
        <v>-56.2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5">
        <v>-189.1</v>
      </c>
      <c r="AC50" s="15">
        <v>-443</v>
      </c>
      <c r="AD50" s="15">
        <v>-262.1</v>
      </c>
      <c r="AE50" s="15">
        <v>-322.7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5">
        <v>-188.3</v>
      </c>
      <c r="AN50" s="15">
        <v>-63.9</v>
      </c>
      <c r="AO50" s="15">
        <v>-111.8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/>
      <c r="AZ50" s="17">
        <f t="shared" si="2"/>
        <v>-1216.9</v>
      </c>
      <c r="BA50" s="17">
        <f t="shared" si="3"/>
        <v>-364</v>
      </c>
      <c r="BB50" s="17">
        <f t="shared" si="4"/>
        <v>-385.84</v>
      </c>
    </row>
    <row r="51" ht="15" customHeight="1">
      <c r="B51" s="19" t="s">
        <v>51</v>
      </c>
      <c r="C51" s="20">
        <f t="shared" si="17" ref="C51:AX51">C45+C46+C49+C50</f>
        <v>399.2</v>
      </c>
      <c r="D51" s="20">
        <f t="shared" si="17"/>
        <v>183.1</v>
      </c>
      <c r="E51" s="20">
        <f t="shared" si="17"/>
        <v>-429.8</v>
      </c>
      <c r="F51" s="20">
        <f t="shared" si="17"/>
        <v>844.2</v>
      </c>
      <c r="G51" s="20">
        <f t="shared" si="17"/>
        <v>567.3</v>
      </c>
      <c r="H51" s="20">
        <f t="shared" si="17"/>
        <v>-140.9</v>
      </c>
      <c r="I51" s="20">
        <f t="shared" si="17"/>
        <v>137.6</v>
      </c>
      <c r="J51" s="20">
        <f t="shared" si="17"/>
        <v>423.4</v>
      </c>
      <c r="K51" s="20">
        <f t="shared" si="17"/>
        <v>47.4</v>
      </c>
      <c r="L51" s="20">
        <f t="shared" si="17"/>
        <v>1012.6</v>
      </c>
      <c r="M51" s="20">
        <f t="shared" si="17"/>
        <v>1258.3</v>
      </c>
      <c r="N51" s="20">
        <f t="shared" si="17"/>
        <v>249.7</v>
      </c>
      <c r="O51" s="20">
        <f t="shared" si="17"/>
        <v>735.5</v>
      </c>
      <c r="P51" s="20">
        <f t="shared" si="17"/>
        <v>940.2</v>
      </c>
      <c r="Q51" s="20">
        <f t="shared" si="17"/>
        <v>-28.2</v>
      </c>
      <c r="R51" s="20">
        <f t="shared" si="17"/>
        <v>774.8</v>
      </c>
      <c r="S51" s="20">
        <f t="shared" si="17"/>
        <v>535.8</v>
      </c>
      <c r="T51" s="20">
        <f t="shared" si="17"/>
        <v>146</v>
      </c>
      <c r="U51" s="20">
        <f t="shared" si="17"/>
        <v>622.3</v>
      </c>
      <c r="V51" s="20">
        <f t="shared" si="17"/>
        <v>1476.4</v>
      </c>
      <c r="W51" s="20">
        <f t="shared" si="17"/>
        <v>742.5</v>
      </c>
      <c r="X51" s="20">
        <f t="shared" si="17"/>
        <v>415.8</v>
      </c>
      <c r="Y51" s="20">
        <f t="shared" si="17"/>
        <v>1211.2</v>
      </c>
      <c r="Z51" s="20">
        <f t="shared" si="17"/>
        <v>561.5</v>
      </c>
      <c r="AA51" s="20">
        <f t="shared" si="17"/>
        <v>1663.7</v>
      </c>
      <c r="AB51" s="20">
        <f t="shared" si="17"/>
        <v>718.8</v>
      </c>
      <c r="AC51" s="20">
        <f t="shared" si="17"/>
        <v>-376.1</v>
      </c>
      <c r="AD51" s="20">
        <f t="shared" si="17"/>
        <v>593.9</v>
      </c>
      <c r="AE51" s="20">
        <f t="shared" si="17"/>
        <v>1606.8</v>
      </c>
      <c r="AF51" s="20">
        <f t="shared" si="17"/>
        <v>-33.6000000000001</v>
      </c>
      <c r="AG51" s="20">
        <f t="shared" si="17"/>
        <v>1297.2</v>
      </c>
      <c r="AH51" s="20">
        <f t="shared" si="17"/>
        <v>854.7</v>
      </c>
      <c r="AI51" s="20">
        <f t="shared" si="17"/>
        <v>300.5</v>
      </c>
      <c r="AJ51" s="20">
        <f t="shared" si="17"/>
        <v>1731.7</v>
      </c>
      <c r="AK51" s="20">
        <f t="shared" si="17"/>
        <v>1203.5</v>
      </c>
      <c r="AL51" s="20">
        <f t="shared" si="17"/>
        <v>815.2</v>
      </c>
      <c r="AM51" s="20">
        <f t="shared" si="17"/>
        <v>1141.3</v>
      </c>
      <c r="AN51" s="20">
        <f t="shared" si="17"/>
        <v>1525.6</v>
      </c>
      <c r="AO51" s="20">
        <f t="shared" si="17"/>
        <v>683.4</v>
      </c>
      <c r="AP51" s="20">
        <f t="shared" si="17"/>
        <v>1058.9</v>
      </c>
      <c r="AQ51" s="20">
        <f t="shared" si="17"/>
        <v>1906.9</v>
      </c>
      <c r="AR51" s="20">
        <f t="shared" si="17"/>
        <v>-23.8</v>
      </c>
      <c r="AS51" s="20">
        <f t="shared" si="17"/>
        <v>816.6</v>
      </c>
      <c r="AT51" s="20">
        <f t="shared" si="17"/>
        <v>872</v>
      </c>
      <c r="AU51" s="20">
        <f t="shared" si="17"/>
        <v>208.8</v>
      </c>
      <c r="AV51" s="20">
        <f t="shared" si="17"/>
        <v>1486.7</v>
      </c>
      <c r="AW51" s="20">
        <f t="shared" si="17"/>
        <v>1440.7</v>
      </c>
      <c r="AX51" s="20">
        <f t="shared" si="17"/>
        <v>3.20000000000019</v>
      </c>
      <c r="AY51" s="21"/>
      <c r="AZ51" s="22">
        <f t="shared" si="2"/>
        <v>10376.3</v>
      </c>
      <c r="BA51" s="22">
        <f t="shared" si="3"/>
        <v>11120.3</v>
      </c>
      <c r="BB51" s="22">
        <f t="shared" si="4"/>
        <v>11787.518</v>
      </c>
    </row>
    <row r="52" ht="15" customHeight="1">
      <c r="B52" s="18" t="s">
        <v>52</v>
      </c>
      <c r="C52" s="16">
        <v>0</v>
      </c>
      <c r="D52" s="16">
        <v>0</v>
      </c>
      <c r="E52" s="15">
        <v>-1252</v>
      </c>
      <c r="F52" s="16">
        <v>0</v>
      </c>
      <c r="G52" s="16">
        <v>0</v>
      </c>
      <c r="H52" s="15">
        <v>-1270</v>
      </c>
      <c r="I52" s="16">
        <v>0</v>
      </c>
      <c r="J52" s="16">
        <v>0</v>
      </c>
      <c r="K52" s="15">
        <v>-1288</v>
      </c>
      <c r="L52" s="16">
        <v>0</v>
      </c>
      <c r="M52" s="16">
        <v>0</v>
      </c>
      <c r="N52" s="15">
        <v>-1306</v>
      </c>
      <c r="O52" s="16">
        <v>0</v>
      </c>
      <c r="P52" s="16">
        <v>0</v>
      </c>
      <c r="Q52" s="15">
        <v>-1324</v>
      </c>
      <c r="R52" s="16">
        <v>0</v>
      </c>
      <c r="S52" s="16">
        <v>0</v>
      </c>
      <c r="T52" s="15">
        <v>-1342</v>
      </c>
      <c r="U52" s="16">
        <v>0</v>
      </c>
      <c r="V52" s="16">
        <v>0</v>
      </c>
      <c r="W52" s="15">
        <v>-1360</v>
      </c>
      <c r="X52" s="16">
        <v>0</v>
      </c>
      <c r="Y52" s="16">
        <v>0</v>
      </c>
      <c r="Z52" s="15">
        <v>-1378</v>
      </c>
      <c r="AA52" s="16">
        <v>0</v>
      </c>
      <c r="AB52" s="16">
        <v>0</v>
      </c>
      <c r="AC52" s="15">
        <v>-1396</v>
      </c>
      <c r="AD52" s="16">
        <v>0</v>
      </c>
      <c r="AE52" s="16">
        <v>0</v>
      </c>
      <c r="AF52" s="15">
        <v>-1414</v>
      </c>
      <c r="AG52" s="16">
        <v>0</v>
      </c>
      <c r="AH52" s="16">
        <v>0</v>
      </c>
      <c r="AI52" s="15">
        <v>-1432</v>
      </c>
      <c r="AJ52" s="16">
        <v>0</v>
      </c>
      <c r="AK52" s="16">
        <v>0</v>
      </c>
      <c r="AL52" s="15">
        <v>-1450</v>
      </c>
      <c r="AM52" s="16">
        <v>0</v>
      </c>
      <c r="AN52" s="16">
        <v>0</v>
      </c>
      <c r="AO52" s="15">
        <v>-1468</v>
      </c>
      <c r="AP52" s="16">
        <v>0</v>
      </c>
      <c r="AQ52" s="16">
        <v>0</v>
      </c>
      <c r="AR52" s="15">
        <v>-1486</v>
      </c>
      <c r="AS52" s="16">
        <v>0</v>
      </c>
      <c r="AT52" s="16">
        <v>0</v>
      </c>
      <c r="AU52" s="15">
        <v>-1504</v>
      </c>
      <c r="AV52" s="16">
        <v>0</v>
      </c>
      <c r="AW52" s="16">
        <v>0</v>
      </c>
      <c r="AX52" s="15">
        <v>-1522</v>
      </c>
      <c r="AY52" s="16"/>
      <c r="AZ52" s="17">
        <f t="shared" si="2"/>
        <v>-5692</v>
      </c>
      <c r="BA52" s="17">
        <f t="shared" si="3"/>
        <v>-5980</v>
      </c>
      <c r="BB52" s="17">
        <f t="shared" si="4"/>
        <v>-6338.8</v>
      </c>
    </row>
    <row r="53" ht="15" customHeight="1">
      <c r="B53" s="18" t="s">
        <v>53</v>
      </c>
      <c r="C53" s="16">
        <v>0</v>
      </c>
      <c r="D53" s="16">
        <v>0</v>
      </c>
      <c r="E53" s="15">
        <v>-250</v>
      </c>
      <c r="F53" s="16">
        <v>0</v>
      </c>
      <c r="G53" s="16">
        <v>0</v>
      </c>
      <c r="H53" s="15">
        <v>-250</v>
      </c>
      <c r="I53" s="16">
        <v>0</v>
      </c>
      <c r="J53" s="16">
        <v>0</v>
      </c>
      <c r="K53" s="15">
        <v>-250</v>
      </c>
      <c r="L53" s="16">
        <v>0</v>
      </c>
      <c r="M53" s="16">
        <v>0</v>
      </c>
      <c r="N53" s="15">
        <v>-250</v>
      </c>
      <c r="O53" s="16">
        <v>0</v>
      </c>
      <c r="P53" s="16">
        <v>0</v>
      </c>
      <c r="Q53" s="15">
        <v>-250</v>
      </c>
      <c r="R53" s="16">
        <v>0</v>
      </c>
      <c r="S53" s="16">
        <v>0</v>
      </c>
      <c r="T53" s="15">
        <v>-250</v>
      </c>
      <c r="U53" s="16">
        <v>0</v>
      </c>
      <c r="V53" s="16">
        <v>0</v>
      </c>
      <c r="W53" s="15">
        <v>-250</v>
      </c>
      <c r="X53" s="16">
        <v>0</v>
      </c>
      <c r="Y53" s="16">
        <v>0</v>
      </c>
      <c r="Z53" s="15">
        <v>-250</v>
      </c>
      <c r="AA53" s="16">
        <v>0</v>
      </c>
      <c r="AB53" s="16">
        <v>0</v>
      </c>
      <c r="AC53" s="15">
        <v>-250</v>
      </c>
      <c r="AD53" s="16">
        <v>0</v>
      </c>
      <c r="AE53" s="16">
        <v>0</v>
      </c>
      <c r="AF53" s="15">
        <v>-250</v>
      </c>
      <c r="AG53" s="16">
        <v>0</v>
      </c>
      <c r="AH53" s="16">
        <v>0</v>
      </c>
      <c r="AI53" s="15">
        <v>-250</v>
      </c>
      <c r="AJ53" s="16">
        <v>0</v>
      </c>
      <c r="AK53" s="16">
        <v>0</v>
      </c>
      <c r="AL53" s="15">
        <v>-250</v>
      </c>
      <c r="AM53" s="16">
        <v>0</v>
      </c>
      <c r="AN53" s="16">
        <v>0</v>
      </c>
      <c r="AO53" s="15">
        <v>-250</v>
      </c>
      <c r="AP53" s="16">
        <v>0</v>
      </c>
      <c r="AQ53" s="16">
        <v>0</v>
      </c>
      <c r="AR53" s="15">
        <v>-250</v>
      </c>
      <c r="AS53" s="16">
        <v>0</v>
      </c>
      <c r="AT53" s="16">
        <v>0</v>
      </c>
      <c r="AU53" s="15">
        <v>-250</v>
      </c>
      <c r="AV53" s="16">
        <v>0</v>
      </c>
      <c r="AW53" s="16">
        <v>0</v>
      </c>
      <c r="AX53" s="15">
        <v>-250</v>
      </c>
      <c r="AY53" s="16"/>
      <c r="AZ53" s="17">
        <f t="shared" si="2"/>
        <v>-1000</v>
      </c>
      <c r="BA53" s="17">
        <f t="shared" si="3"/>
        <v>-1000</v>
      </c>
      <c r="BB53" s="17">
        <f t="shared" si="4"/>
        <v>-1060</v>
      </c>
    </row>
    <row r="54" ht="15" customHeight="1">
      <c r="B54" s="19" t="s">
        <v>54</v>
      </c>
      <c r="C54" s="20">
        <f t="shared" si="18" ref="C54:BB83">C51+C52+C53</f>
        <v>399.2</v>
      </c>
      <c r="D54" s="20">
        <f t="shared" si="18"/>
        <v>183.1</v>
      </c>
      <c r="E54" s="20">
        <f t="shared" si="18"/>
        <v>-1931.8</v>
      </c>
      <c r="F54" s="20">
        <f t="shared" si="18"/>
        <v>844.2</v>
      </c>
      <c r="G54" s="20">
        <f t="shared" si="18"/>
        <v>567.3</v>
      </c>
      <c r="H54" s="20">
        <f t="shared" si="18"/>
        <v>-1660.9</v>
      </c>
      <c r="I54" s="20">
        <f t="shared" si="18"/>
        <v>137.6</v>
      </c>
      <c r="J54" s="20">
        <f t="shared" si="18"/>
        <v>423.4</v>
      </c>
      <c r="K54" s="20">
        <f t="shared" si="18"/>
        <v>-1490.6</v>
      </c>
      <c r="L54" s="20">
        <f t="shared" si="18"/>
        <v>1012.6</v>
      </c>
      <c r="M54" s="20">
        <f t="shared" si="18"/>
        <v>1258.3</v>
      </c>
      <c r="N54" s="20">
        <f t="shared" si="18"/>
        <v>-1306.3</v>
      </c>
      <c r="O54" s="20">
        <f t="shared" si="18"/>
        <v>735.5</v>
      </c>
      <c r="P54" s="20">
        <f t="shared" si="18"/>
        <v>940.2</v>
      </c>
      <c r="Q54" s="20">
        <f t="shared" si="18"/>
        <v>-1602.2</v>
      </c>
      <c r="R54" s="20">
        <f t="shared" si="18"/>
        <v>774.8</v>
      </c>
      <c r="S54" s="20">
        <f t="shared" si="18"/>
        <v>535.8</v>
      </c>
      <c r="T54" s="20">
        <f t="shared" si="18"/>
        <v>-1446</v>
      </c>
      <c r="U54" s="20">
        <f t="shared" si="18"/>
        <v>622.3</v>
      </c>
      <c r="V54" s="20">
        <f t="shared" si="18"/>
        <v>1476.4</v>
      </c>
      <c r="W54" s="20">
        <f t="shared" si="18"/>
        <v>-867.5</v>
      </c>
      <c r="X54" s="20">
        <f t="shared" si="18"/>
        <v>415.8</v>
      </c>
      <c r="Y54" s="20">
        <f t="shared" si="18"/>
        <v>1211.2</v>
      </c>
      <c r="Z54" s="20">
        <f t="shared" si="18"/>
        <v>-1066.5</v>
      </c>
      <c r="AA54" s="20">
        <f t="shared" si="18"/>
        <v>1663.7</v>
      </c>
      <c r="AB54" s="20">
        <f t="shared" si="18"/>
        <v>718.8</v>
      </c>
      <c r="AC54" s="20">
        <f t="shared" si="18"/>
        <v>-2022.1</v>
      </c>
      <c r="AD54" s="20">
        <f t="shared" si="18"/>
        <v>593.9</v>
      </c>
      <c r="AE54" s="20">
        <f t="shared" si="18"/>
        <v>1606.8</v>
      </c>
      <c r="AF54" s="20">
        <f t="shared" si="18"/>
        <v>-1697.6</v>
      </c>
      <c r="AG54" s="20">
        <f t="shared" si="18"/>
        <v>1297.2</v>
      </c>
      <c r="AH54" s="20">
        <f t="shared" si="18"/>
        <v>854.7</v>
      </c>
      <c r="AI54" s="20">
        <f t="shared" si="18"/>
        <v>-1381.5</v>
      </c>
      <c r="AJ54" s="20">
        <f t="shared" si="18"/>
        <v>1731.7</v>
      </c>
      <c r="AK54" s="20">
        <f t="shared" si="18"/>
        <v>1203.5</v>
      </c>
      <c r="AL54" s="20">
        <f t="shared" si="18"/>
        <v>-884.8</v>
      </c>
      <c r="AM54" s="20">
        <f t="shared" si="18"/>
        <v>1141.3</v>
      </c>
      <c r="AN54" s="20">
        <f t="shared" si="18"/>
        <v>1525.6</v>
      </c>
      <c r="AO54" s="20">
        <f t="shared" si="18"/>
        <v>-1034.6</v>
      </c>
      <c r="AP54" s="20">
        <f t="shared" si="18"/>
        <v>1058.9</v>
      </c>
      <c r="AQ54" s="20">
        <f t="shared" si="18"/>
        <v>1906.9</v>
      </c>
      <c r="AR54" s="20">
        <f t="shared" si="18"/>
        <v>-1759.8</v>
      </c>
      <c r="AS54" s="20">
        <f t="shared" si="18"/>
        <v>816.6</v>
      </c>
      <c r="AT54" s="20">
        <f t="shared" si="18"/>
        <v>872</v>
      </c>
      <c r="AU54" s="20">
        <f t="shared" si="18"/>
        <v>-1545.2</v>
      </c>
      <c r="AV54" s="20">
        <f t="shared" si="18"/>
        <v>1486.7</v>
      </c>
      <c r="AW54" s="20">
        <f t="shared" si="18"/>
        <v>1440.7</v>
      </c>
      <c r="AX54" s="20">
        <f t="shared" si="18"/>
        <v>-1768.8</v>
      </c>
      <c r="AY54" s="21"/>
      <c r="AZ54" s="22">
        <f t="shared" si="2"/>
        <v>3684.3</v>
      </c>
      <c r="BA54" s="22">
        <f t="shared" si="3"/>
        <v>4140.3</v>
      </c>
      <c r="BB54" s="22">
        <f t="shared" si="4"/>
        <v>4388.718</v>
      </c>
    </row>
    <row r="55" ht="15" customHeight="1">
      <c r="B55" s="18" t="s">
        <v>55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5">
        <v>8000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/>
      <c r="AZ55" s="17">
        <f t="shared" si="2"/>
        <v>0</v>
      </c>
      <c r="BA55" s="17">
        <f t="shared" si="3"/>
        <v>0</v>
      </c>
      <c r="BB55" s="17">
        <f t="shared" si="4"/>
        <v>0</v>
      </c>
    </row>
    <row r="56" ht="15" customHeight="1">
      <c r="B56" s="18" t="s">
        <v>56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5">
        <v>-7600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5">
        <v>-2200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/>
      <c r="AZ56" s="17">
        <f t="shared" si="2"/>
        <v>-2200</v>
      </c>
      <c r="BA56" s="17">
        <f t="shared" si="3"/>
        <v>0</v>
      </c>
      <c r="BB56" s="17">
        <f t="shared" si="4"/>
        <v>0</v>
      </c>
    </row>
    <row r="57" ht="15" customHeight="1">
      <c r="B57" s="18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/>
      <c r="AZ57" s="17">
        <f t="shared" si="2"/>
        <v>0</v>
      </c>
      <c r="BA57" s="17">
        <f t="shared" si="3"/>
        <v>0</v>
      </c>
      <c r="BB57" s="17">
        <f t="shared" si="4"/>
        <v>0</v>
      </c>
    </row>
    <row r="58" ht="15" customHeight="1">
      <c r="B58" s="18" t="s">
        <v>58</v>
      </c>
      <c r="C58" s="15">
        <v>-41.3</v>
      </c>
      <c r="D58" s="15">
        <v>-37.7</v>
      </c>
      <c r="E58" s="15">
        <v>-18.3</v>
      </c>
      <c r="F58" s="15">
        <v>6.5</v>
      </c>
      <c r="G58" s="15">
        <v>34.9</v>
      </c>
      <c r="H58" s="15">
        <v>-45.4</v>
      </c>
      <c r="I58" s="15">
        <v>-20.7</v>
      </c>
      <c r="J58" s="15">
        <v>-38.7</v>
      </c>
      <c r="K58" s="15">
        <v>37.4</v>
      </c>
      <c r="L58" s="15">
        <v>-45.8</v>
      </c>
      <c r="M58" s="15">
        <v>-54.8</v>
      </c>
      <c r="N58" s="15">
        <v>-54</v>
      </c>
      <c r="O58" s="15">
        <v>-20.7</v>
      </c>
      <c r="P58" s="15">
        <v>29.8</v>
      </c>
      <c r="Q58" s="15">
        <v>28.4</v>
      </c>
      <c r="R58" s="15">
        <v>13.3</v>
      </c>
      <c r="S58" s="15">
        <v>39.8</v>
      </c>
      <c r="T58" s="15">
        <v>33.2</v>
      </c>
      <c r="U58" s="15">
        <v>-27.1</v>
      </c>
      <c r="V58" s="15">
        <v>-41.4</v>
      </c>
      <c r="W58" s="15">
        <v>33.6</v>
      </c>
      <c r="X58" s="15">
        <v>14.6</v>
      </c>
      <c r="Y58" s="15">
        <v>-56.8</v>
      </c>
      <c r="Z58" s="15">
        <v>6.4</v>
      </c>
      <c r="AA58" s="15">
        <v>-22.1</v>
      </c>
      <c r="AB58" s="15">
        <v>-22.6</v>
      </c>
      <c r="AC58" s="15">
        <v>-26.8</v>
      </c>
      <c r="AD58" s="15">
        <v>-43.1</v>
      </c>
      <c r="AE58" s="15">
        <v>-59.7</v>
      </c>
      <c r="AF58" s="15">
        <v>-32</v>
      </c>
      <c r="AG58" s="15">
        <v>-24.9</v>
      </c>
      <c r="AH58" s="15">
        <v>35.6</v>
      </c>
      <c r="AI58" s="15">
        <v>-47.6</v>
      </c>
      <c r="AJ58" s="15">
        <v>36.4</v>
      </c>
      <c r="AK58" s="15">
        <v>-39.3</v>
      </c>
      <c r="AL58" s="15">
        <v>-24.3</v>
      </c>
      <c r="AM58" s="15">
        <v>22.2</v>
      </c>
      <c r="AN58" s="15">
        <v>22.2</v>
      </c>
      <c r="AO58" s="15">
        <v>-16.8</v>
      </c>
      <c r="AP58" s="15">
        <v>-55.1</v>
      </c>
      <c r="AQ58" s="15">
        <v>-12.7</v>
      </c>
      <c r="AR58" s="15">
        <v>-22.7</v>
      </c>
      <c r="AS58" s="15">
        <v>32</v>
      </c>
      <c r="AT58" s="15">
        <v>-40.7</v>
      </c>
      <c r="AU58" s="15">
        <v>-23.6</v>
      </c>
      <c r="AV58" s="15">
        <v>29.7</v>
      </c>
      <c r="AW58" s="15">
        <v>-57</v>
      </c>
      <c r="AX58" s="15">
        <v>-18.9</v>
      </c>
      <c r="AY58" s="16"/>
      <c r="AZ58" s="17">
        <f t="shared" si="2"/>
        <v>-270.4</v>
      </c>
      <c r="BA58" s="17">
        <f t="shared" si="3"/>
        <v>-141.4</v>
      </c>
      <c r="BB58" s="17">
        <f t="shared" si="4"/>
        <v>-149.884</v>
      </c>
    </row>
    <row r="59" ht="15" customHeight="1">
      <c r="B59" s="18" t="s">
        <v>59</v>
      </c>
      <c r="C59" s="15">
        <v>28.1</v>
      </c>
      <c r="D59" s="15">
        <v>24</v>
      </c>
      <c r="E59" s="15">
        <v>-41.3</v>
      </c>
      <c r="F59" s="15">
        <v>-41.9</v>
      </c>
      <c r="G59" s="15">
        <v>-39.4</v>
      </c>
      <c r="H59" s="15">
        <v>37.8</v>
      </c>
      <c r="I59" s="15">
        <v>-21.9</v>
      </c>
      <c r="J59" s="15">
        <v>22.3</v>
      </c>
      <c r="K59" s="15">
        <v>35.9</v>
      </c>
      <c r="L59" s="15">
        <v>-14.5</v>
      </c>
      <c r="M59" s="15">
        <v>-20.5</v>
      </c>
      <c r="N59" s="15">
        <v>41.2</v>
      </c>
      <c r="O59" s="15">
        <v>10.5</v>
      </c>
      <c r="P59" s="15">
        <v>-21.4</v>
      </c>
      <c r="Q59" s="15">
        <v>19.5</v>
      </c>
      <c r="R59" s="15">
        <v>-16.5</v>
      </c>
      <c r="S59" s="15">
        <v>-20.2</v>
      </c>
      <c r="T59" s="15">
        <v>-44.7</v>
      </c>
      <c r="U59" s="15">
        <v>23</v>
      </c>
      <c r="V59" s="15">
        <v>37.5</v>
      </c>
      <c r="W59" s="15">
        <v>12.1</v>
      </c>
      <c r="X59" s="15">
        <v>39.9</v>
      </c>
      <c r="Y59" s="15">
        <v>-42.8</v>
      </c>
      <c r="Z59" s="15">
        <v>-24</v>
      </c>
      <c r="AA59" s="15">
        <v>-2.2</v>
      </c>
      <c r="AB59" s="15">
        <v>41.1</v>
      </c>
      <c r="AC59" s="15">
        <v>40.9</v>
      </c>
      <c r="AD59" s="15">
        <v>-10.2</v>
      </c>
      <c r="AE59" s="15">
        <v>-22.4</v>
      </c>
      <c r="AF59" s="15">
        <v>-6.3</v>
      </c>
      <c r="AG59" s="15">
        <v>-0.6</v>
      </c>
      <c r="AH59" s="15">
        <v>38.5</v>
      </c>
      <c r="AI59" s="15">
        <v>-28.5</v>
      </c>
      <c r="AJ59" s="15">
        <v>27.2</v>
      </c>
      <c r="AK59" s="15">
        <v>21.5</v>
      </c>
      <c r="AL59" s="15">
        <v>29</v>
      </c>
      <c r="AM59" s="15">
        <v>24.6</v>
      </c>
      <c r="AN59" s="15">
        <v>9.7</v>
      </c>
      <c r="AO59" s="15">
        <v>-15.5</v>
      </c>
      <c r="AP59" s="15">
        <v>-16.2</v>
      </c>
      <c r="AQ59" s="15">
        <v>-12.4</v>
      </c>
      <c r="AR59" s="15">
        <v>25.4</v>
      </c>
      <c r="AS59" s="15">
        <v>-37.9</v>
      </c>
      <c r="AT59" s="15">
        <v>-27.2</v>
      </c>
      <c r="AU59" s="15">
        <v>22.8</v>
      </c>
      <c r="AV59" s="15">
        <v>-22.7</v>
      </c>
      <c r="AW59" s="15">
        <v>-39.2</v>
      </c>
      <c r="AX59" s="15">
        <v>-42</v>
      </c>
      <c r="AY59" s="16"/>
      <c r="AZ59" s="17">
        <f t="shared" si="2"/>
        <v>128</v>
      </c>
      <c r="BA59" s="17">
        <f t="shared" si="3"/>
        <v>-130.6</v>
      </c>
      <c r="BB59" s="17">
        <f t="shared" si="4"/>
        <v>-138.436</v>
      </c>
    </row>
    <row r="60" ht="15" customHeight="1">
      <c r="B60" s="19" t="s">
        <v>60</v>
      </c>
      <c r="C60" s="20">
        <f t="shared" si="19" ref="C60:AX60">C54+SUM(C55:C59)</f>
        <v>386</v>
      </c>
      <c r="D60" s="20">
        <f t="shared" si="19"/>
        <v>169.4</v>
      </c>
      <c r="E60" s="20">
        <f t="shared" si="19"/>
        <v>-1991.4</v>
      </c>
      <c r="F60" s="20">
        <f t="shared" si="19"/>
        <v>808.8</v>
      </c>
      <c r="G60" s="20">
        <f t="shared" si="19"/>
        <v>562.8</v>
      </c>
      <c r="H60" s="20">
        <f t="shared" si="19"/>
        <v>-1668.5</v>
      </c>
      <c r="I60" s="20">
        <f t="shared" si="19"/>
        <v>95</v>
      </c>
      <c r="J60" s="20">
        <f t="shared" si="19"/>
        <v>407</v>
      </c>
      <c r="K60" s="20">
        <f t="shared" si="19"/>
        <v>-1417.3</v>
      </c>
      <c r="L60" s="20">
        <f t="shared" si="19"/>
        <v>952.3</v>
      </c>
      <c r="M60" s="20">
        <f t="shared" si="19"/>
        <v>1183</v>
      </c>
      <c r="N60" s="20">
        <f t="shared" si="19"/>
        <v>-1319.1</v>
      </c>
      <c r="O60" s="20">
        <f t="shared" si="19"/>
        <v>725.3</v>
      </c>
      <c r="P60" s="20">
        <f t="shared" si="19"/>
        <v>948.6</v>
      </c>
      <c r="Q60" s="20">
        <f t="shared" si="19"/>
        <v>-1554.3</v>
      </c>
      <c r="R60" s="20">
        <f t="shared" si="19"/>
        <v>771.6</v>
      </c>
      <c r="S60" s="20">
        <f t="shared" si="19"/>
        <v>555.4</v>
      </c>
      <c r="T60" s="20">
        <f t="shared" si="19"/>
        <v>-1457.5</v>
      </c>
      <c r="U60" s="20">
        <f t="shared" si="19"/>
        <v>618.2</v>
      </c>
      <c r="V60" s="20">
        <f t="shared" si="19"/>
        <v>1872.5</v>
      </c>
      <c r="W60" s="20">
        <f t="shared" si="19"/>
        <v>-821.8</v>
      </c>
      <c r="X60" s="20">
        <f t="shared" si="19"/>
        <v>470.3</v>
      </c>
      <c r="Y60" s="20">
        <f t="shared" si="19"/>
        <v>1111.6</v>
      </c>
      <c r="Z60" s="20">
        <f t="shared" si="19"/>
        <v>-1084.1</v>
      </c>
      <c r="AA60" s="20">
        <f t="shared" si="19"/>
        <v>1639.4</v>
      </c>
      <c r="AB60" s="20">
        <f t="shared" si="19"/>
        <v>737.3</v>
      </c>
      <c r="AC60" s="20">
        <f t="shared" si="19"/>
        <v>-2008</v>
      </c>
      <c r="AD60" s="20">
        <f t="shared" si="19"/>
        <v>540.6</v>
      </c>
      <c r="AE60" s="20">
        <f t="shared" si="19"/>
        <v>1524.7</v>
      </c>
      <c r="AF60" s="20">
        <f t="shared" si="19"/>
        <v>-1735.9</v>
      </c>
      <c r="AG60" s="20">
        <f t="shared" si="19"/>
        <v>1271.7</v>
      </c>
      <c r="AH60" s="20">
        <f t="shared" si="19"/>
        <v>-1271.2</v>
      </c>
      <c r="AI60" s="20">
        <f t="shared" si="19"/>
        <v>-1457.6</v>
      </c>
      <c r="AJ60" s="20">
        <f t="shared" si="19"/>
        <v>1795.3</v>
      </c>
      <c r="AK60" s="20">
        <f t="shared" si="19"/>
        <v>1185.7</v>
      </c>
      <c r="AL60" s="20">
        <f t="shared" si="19"/>
        <v>-880.1</v>
      </c>
      <c r="AM60" s="20">
        <f t="shared" si="19"/>
        <v>1188.1</v>
      </c>
      <c r="AN60" s="20">
        <f t="shared" si="19"/>
        <v>1557.5</v>
      </c>
      <c r="AO60" s="20">
        <f t="shared" si="19"/>
        <v>-1066.9</v>
      </c>
      <c r="AP60" s="20">
        <f t="shared" si="19"/>
        <v>987.6</v>
      </c>
      <c r="AQ60" s="20">
        <f t="shared" si="19"/>
        <v>1881.8</v>
      </c>
      <c r="AR60" s="20">
        <f t="shared" si="19"/>
        <v>-1757.1</v>
      </c>
      <c r="AS60" s="20">
        <f t="shared" si="19"/>
        <v>810.7</v>
      </c>
      <c r="AT60" s="20">
        <f t="shared" si="19"/>
        <v>804.1</v>
      </c>
      <c r="AU60" s="20">
        <f t="shared" si="19"/>
        <v>-1546</v>
      </c>
      <c r="AV60" s="20">
        <f t="shared" si="19"/>
        <v>1493.7</v>
      </c>
      <c r="AW60" s="20">
        <f t="shared" si="19"/>
        <v>1344.5</v>
      </c>
      <c r="AX60" s="20">
        <f t="shared" si="19"/>
        <v>-1829.7</v>
      </c>
      <c r="AY60" s="21"/>
      <c r="AZ60" s="22">
        <f t="shared" si="2"/>
        <v>1341.9</v>
      </c>
      <c r="BA60" s="22">
        <f t="shared" si="3"/>
        <v>3868.3</v>
      </c>
      <c r="BB60" s="22">
        <f t="shared" si="4"/>
        <v>4100.398</v>
      </c>
    </row>
    <row r="61" ht="15" customHeight="1">
      <c r="B61" s="1" t="s">
        <v>61</v>
      </c>
      <c r="C61" s="27" cm="1">
        <f t="array" ref="C61">$C$122</f>
        <v>12000</v>
      </c>
      <c r="D61" s="27" cm="1">
        <f t="array" ref="D61">C62</f>
        <v>12386</v>
      </c>
      <c r="E61" s="27" cm="1">
        <f t="array" ref="E61">D62</f>
        <v>12555.4</v>
      </c>
      <c r="F61" s="27" cm="1">
        <f t="array" ref="F61">E62</f>
        <v>10564</v>
      </c>
      <c r="G61" s="27" cm="1">
        <f t="array" ref="G61">F62</f>
        <v>11372.8</v>
      </c>
      <c r="H61" s="27" cm="1">
        <f t="array" ref="H61">G62</f>
        <v>11935.6</v>
      </c>
      <c r="I61" s="27" cm="1">
        <f t="array" ref="I61">H62</f>
        <v>10267.1</v>
      </c>
      <c r="J61" s="27" cm="1">
        <f t="array" ref="J61">I62</f>
        <v>10362.1</v>
      </c>
      <c r="K61" s="27" cm="1">
        <f t="array" ref="K61">J62</f>
        <v>10769.1</v>
      </c>
      <c r="L61" s="27" cm="1">
        <f t="array" ref="L61">K62</f>
        <v>9351.8</v>
      </c>
      <c r="M61" s="27" cm="1">
        <f t="array" ref="M61">L62</f>
        <v>10304.1</v>
      </c>
      <c r="N61" s="27" cm="1">
        <f t="array" ref="N61">M62</f>
        <v>11487.1</v>
      </c>
      <c r="O61" s="27" cm="1">
        <f t="array" ref="O61">N62</f>
        <v>10168</v>
      </c>
      <c r="P61" s="27" cm="1">
        <f t="array" ref="P61">O62</f>
        <v>10893.3</v>
      </c>
      <c r="Q61" s="27" cm="1">
        <f t="array" ref="Q61">P62</f>
        <v>11841.9</v>
      </c>
      <c r="R61" s="27" cm="1">
        <f t="array" ref="R61">Q62</f>
        <v>10287.6</v>
      </c>
      <c r="S61" s="27" cm="1">
        <f t="array" ref="S61">R62</f>
        <v>11059.2</v>
      </c>
      <c r="T61" s="27" cm="1">
        <f t="array" ref="T61">S62</f>
        <v>11614.6</v>
      </c>
      <c r="U61" s="27" cm="1">
        <f t="array" ref="U61">T62</f>
        <v>10157.1</v>
      </c>
      <c r="V61" s="27" cm="1">
        <f t="array" ref="V61">U62</f>
        <v>10775.3</v>
      </c>
      <c r="W61" s="27" cm="1">
        <f t="array" ref="W61">V62</f>
        <v>12647.8</v>
      </c>
      <c r="X61" s="27" cm="1">
        <f t="array" ref="X61">W62</f>
        <v>11826</v>
      </c>
      <c r="Y61" s="27" cm="1">
        <f t="array" ref="Y61">X62</f>
        <v>12296.3</v>
      </c>
      <c r="Z61" s="27" cm="1">
        <f t="array" ref="Z61">Y62</f>
        <v>13407.9</v>
      </c>
      <c r="AA61" s="27" cm="1">
        <f t="array" ref="AA61">Z62</f>
        <v>12323.8</v>
      </c>
      <c r="AB61" s="27" cm="1">
        <f t="array" ref="AB61">AA62</f>
        <v>13963.2</v>
      </c>
      <c r="AC61" s="27" cm="1">
        <f t="array" ref="AC61">AB62</f>
        <v>14700.5</v>
      </c>
      <c r="AD61" s="27" cm="1">
        <f t="array" ref="AD61">AC62</f>
        <v>12692.5</v>
      </c>
      <c r="AE61" s="27" cm="1">
        <f t="array" ref="AE61">AD62</f>
        <v>13233.1</v>
      </c>
      <c r="AF61" s="27" cm="1">
        <f t="array" ref="AF61">AE62</f>
        <v>14757.8</v>
      </c>
      <c r="AG61" s="27" cm="1">
        <f t="array" ref="AG61">AF62</f>
        <v>13021.9</v>
      </c>
      <c r="AH61" s="27" cm="1">
        <f t="array" ref="AH61">AG62</f>
        <v>14293.6</v>
      </c>
      <c r="AI61" s="27" cm="1">
        <f t="array" ref="AI61">AH62</f>
        <v>13022.4</v>
      </c>
      <c r="AJ61" s="27" cm="1">
        <f t="array" ref="AJ61">AI62</f>
        <v>11564.8</v>
      </c>
      <c r="AK61" s="27" cm="1">
        <f t="array" ref="AK61">AJ62</f>
        <v>13360.1</v>
      </c>
      <c r="AL61" s="27" cm="1">
        <f t="array" ref="AL61">AK62</f>
        <v>14545.8</v>
      </c>
      <c r="AM61" s="27" cm="1">
        <f t="array" ref="AM61">AL62</f>
        <v>13665.7</v>
      </c>
      <c r="AN61" s="27" cm="1">
        <f t="array" ref="AN61">AM62</f>
        <v>14853.8</v>
      </c>
      <c r="AO61" s="27" cm="1">
        <f t="array" ref="AO61">AN62</f>
        <v>16411.3</v>
      </c>
      <c r="AP61" s="27" cm="1">
        <f t="array" ref="AP61">AO62</f>
        <v>15344.4</v>
      </c>
      <c r="AQ61" s="27" cm="1">
        <f t="array" ref="AQ61">AP62</f>
        <v>16332</v>
      </c>
      <c r="AR61" s="27" cm="1">
        <f t="array" ref="AR61">AQ62</f>
        <v>18213.8</v>
      </c>
      <c r="AS61" s="27" cm="1">
        <f t="array" ref="AS61">AR62</f>
        <v>16456.7</v>
      </c>
      <c r="AT61" s="27" cm="1">
        <f t="array" ref="AT61">AS62</f>
        <v>17267.4</v>
      </c>
      <c r="AU61" s="27" cm="1">
        <f t="array" ref="AU61">AT62</f>
        <v>18071.5</v>
      </c>
      <c r="AV61" s="27" cm="1">
        <f t="array" ref="AV61">AU62</f>
        <v>16525.5</v>
      </c>
      <c r="AW61" s="27" cm="1">
        <f t="array" ref="AW61">AV62</f>
        <v>18019.2</v>
      </c>
      <c r="AX61" s="27" cm="1">
        <f t="array" ref="AX61">AW62</f>
        <v>19363.7</v>
      </c>
      <c r="AY61" s="16"/>
      <c r="AZ61" s="17" cm="1">
        <f t="array" ref="AZ61">AL61</f>
        <v>14545.8</v>
      </c>
      <c r="BA61" s="17" cm="1">
        <f t="array" ref="BA61">AX61</f>
        <v>19363.7</v>
      </c>
      <c r="BB61" s="17" cm="1">
        <f t="array" ref="BB61">BA62</f>
        <v>23232</v>
      </c>
    </row>
    <row r="62" ht="15" customHeight="1">
      <c r="B62" s="19" t="s">
        <v>62</v>
      </c>
      <c r="C62" s="20">
        <f t="shared" si="20" ref="C62:BB62">C61+C60</f>
        <v>12386</v>
      </c>
      <c r="D62" s="20">
        <f t="shared" si="20"/>
        <v>12555.4</v>
      </c>
      <c r="E62" s="20">
        <f t="shared" si="20"/>
        <v>10564</v>
      </c>
      <c r="F62" s="20">
        <f t="shared" si="20"/>
        <v>11372.8</v>
      </c>
      <c r="G62" s="20">
        <f t="shared" si="20"/>
        <v>11935.6</v>
      </c>
      <c r="H62" s="20">
        <f t="shared" si="20"/>
        <v>10267.1</v>
      </c>
      <c r="I62" s="20">
        <f t="shared" si="20"/>
        <v>10362.1</v>
      </c>
      <c r="J62" s="20">
        <f t="shared" si="20"/>
        <v>10769.1</v>
      </c>
      <c r="K62" s="20">
        <f t="shared" si="20"/>
        <v>9351.8</v>
      </c>
      <c r="L62" s="20">
        <f t="shared" si="20"/>
        <v>10304.1</v>
      </c>
      <c r="M62" s="20">
        <f t="shared" si="20"/>
        <v>11487.1</v>
      </c>
      <c r="N62" s="20">
        <f t="shared" si="20"/>
        <v>10168</v>
      </c>
      <c r="O62" s="20">
        <f t="shared" si="20"/>
        <v>10893.3</v>
      </c>
      <c r="P62" s="20">
        <f t="shared" si="20"/>
        <v>11841.9</v>
      </c>
      <c r="Q62" s="20">
        <f t="shared" si="20"/>
        <v>10287.6</v>
      </c>
      <c r="R62" s="20">
        <f t="shared" si="20"/>
        <v>11059.2</v>
      </c>
      <c r="S62" s="20">
        <f t="shared" si="20"/>
        <v>11614.6</v>
      </c>
      <c r="T62" s="20">
        <f t="shared" si="20"/>
        <v>10157.1</v>
      </c>
      <c r="U62" s="20">
        <f t="shared" si="20"/>
        <v>10775.3</v>
      </c>
      <c r="V62" s="20">
        <f t="shared" si="20"/>
        <v>12647.8</v>
      </c>
      <c r="W62" s="20">
        <f t="shared" si="20"/>
        <v>11826</v>
      </c>
      <c r="X62" s="20">
        <f t="shared" si="20"/>
        <v>12296.3</v>
      </c>
      <c r="Y62" s="20">
        <f t="shared" si="20"/>
        <v>13407.9</v>
      </c>
      <c r="Z62" s="20">
        <f t="shared" si="20"/>
        <v>12323.8</v>
      </c>
      <c r="AA62" s="20">
        <f t="shared" si="20"/>
        <v>13963.2</v>
      </c>
      <c r="AB62" s="20">
        <f t="shared" si="20"/>
        <v>14700.5</v>
      </c>
      <c r="AC62" s="20">
        <f t="shared" si="20"/>
        <v>12692.5</v>
      </c>
      <c r="AD62" s="20">
        <f t="shared" si="20"/>
        <v>13233.1</v>
      </c>
      <c r="AE62" s="20">
        <f t="shared" si="20"/>
        <v>14757.8</v>
      </c>
      <c r="AF62" s="20">
        <f t="shared" si="20"/>
        <v>13021.9</v>
      </c>
      <c r="AG62" s="20">
        <f t="shared" si="20"/>
        <v>14293.6</v>
      </c>
      <c r="AH62" s="20">
        <f t="shared" si="20"/>
        <v>13022.4</v>
      </c>
      <c r="AI62" s="20">
        <f t="shared" si="20"/>
        <v>11564.8</v>
      </c>
      <c r="AJ62" s="20">
        <f t="shared" si="20"/>
        <v>13360.1</v>
      </c>
      <c r="AK62" s="20">
        <f t="shared" si="20"/>
        <v>14545.8</v>
      </c>
      <c r="AL62" s="20">
        <f t="shared" si="20"/>
        <v>13665.7</v>
      </c>
      <c r="AM62" s="20">
        <f t="shared" si="20"/>
        <v>14853.8</v>
      </c>
      <c r="AN62" s="20">
        <f t="shared" si="20"/>
        <v>16411.3</v>
      </c>
      <c r="AO62" s="20">
        <f t="shared" si="20"/>
        <v>15344.4</v>
      </c>
      <c r="AP62" s="20">
        <f t="shared" si="20"/>
        <v>16332</v>
      </c>
      <c r="AQ62" s="20">
        <f t="shared" si="20"/>
        <v>18213.8</v>
      </c>
      <c r="AR62" s="20">
        <f t="shared" si="20"/>
        <v>16456.7</v>
      </c>
      <c r="AS62" s="20">
        <f t="shared" si="20"/>
        <v>17267.4</v>
      </c>
      <c r="AT62" s="20">
        <f t="shared" si="20"/>
        <v>18071.5</v>
      </c>
      <c r="AU62" s="20">
        <f t="shared" si="20"/>
        <v>16525.5</v>
      </c>
      <c r="AV62" s="20">
        <f t="shared" si="20"/>
        <v>18019.2</v>
      </c>
      <c r="AW62" s="20">
        <f t="shared" si="20"/>
        <v>19363.7</v>
      </c>
      <c r="AX62" s="20">
        <f t="shared" si="20"/>
        <v>17534</v>
      </c>
      <c r="AY62" s="21"/>
      <c r="AZ62" s="22">
        <f t="shared" si="20"/>
        <v>15887.7</v>
      </c>
      <c r="BA62" s="22">
        <f t="shared" si="20"/>
        <v>23232</v>
      </c>
      <c r="BB62" s="22">
        <f t="shared" si="20"/>
        <v>27332.398</v>
      </c>
    </row>
    <row r="63" ht="15" customHeight="1">
      <c r="B63" s="1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28"/>
      <c r="BA63" s="28"/>
      <c r="BB63" s="28"/>
    </row>
    <row r="64" ht="15" customHeight="1">
      <c r="B64" s="13" t="s">
        <v>63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30"/>
      <c r="BA64" s="30"/>
      <c r="BB64" s="30"/>
    </row>
    <row r="65" ht="15" customHeight="1">
      <c r="B65" s="18" t="s">
        <v>64</v>
      </c>
      <c r="C65" s="15">
        <v>27507.1</v>
      </c>
      <c r="D65" s="15">
        <v>27699</v>
      </c>
      <c r="E65" s="15">
        <v>27711</v>
      </c>
      <c r="F65" s="15">
        <v>27726.8</v>
      </c>
      <c r="G65" s="15">
        <v>27733.3</v>
      </c>
      <c r="H65" s="15">
        <v>27942.8</v>
      </c>
      <c r="I65" s="15">
        <v>27952.3</v>
      </c>
      <c r="J65" s="15">
        <v>27968.6</v>
      </c>
      <c r="K65" s="15">
        <v>27993.5</v>
      </c>
      <c r="L65" s="15">
        <v>28244.2</v>
      </c>
      <c r="M65" s="15">
        <v>28260</v>
      </c>
      <c r="N65" s="15">
        <v>28277.1</v>
      </c>
      <c r="O65" s="15">
        <v>28293.2</v>
      </c>
      <c r="P65" s="15">
        <v>28482.7</v>
      </c>
      <c r="Q65" s="15">
        <v>28493.2</v>
      </c>
      <c r="R65" s="15">
        <v>28498.6</v>
      </c>
      <c r="S65" s="15">
        <v>28511.8</v>
      </c>
      <c r="T65" s="15">
        <v>28755.6</v>
      </c>
      <c r="U65" s="15">
        <v>28761.8</v>
      </c>
      <c r="V65" s="15">
        <v>28778.6</v>
      </c>
      <c r="W65" s="15">
        <v>28801.1</v>
      </c>
      <c r="X65" s="15">
        <v>28979.1</v>
      </c>
      <c r="Y65" s="15">
        <v>28994.1</v>
      </c>
      <c r="Z65" s="15">
        <v>29008</v>
      </c>
      <c r="AA65" s="15">
        <v>29020.6</v>
      </c>
      <c r="AB65" s="15">
        <v>29268.2</v>
      </c>
      <c r="AC65" s="15">
        <v>29286.4</v>
      </c>
      <c r="AD65" s="15">
        <v>29318.4</v>
      </c>
      <c r="AE65" s="15">
        <v>29346.2</v>
      </c>
      <c r="AF65" s="15">
        <v>29562.9</v>
      </c>
      <c r="AG65" s="15">
        <v>29572.9</v>
      </c>
      <c r="AH65" s="15">
        <v>29585.7</v>
      </c>
      <c r="AI65" s="15">
        <v>29615.1</v>
      </c>
      <c r="AJ65" s="15">
        <v>29944.5</v>
      </c>
      <c r="AK65" s="15">
        <v>29967.4</v>
      </c>
      <c r="AL65" s="15">
        <v>29987.3</v>
      </c>
      <c r="AM65" s="15">
        <v>29996.4</v>
      </c>
      <c r="AN65" s="15">
        <v>30244.6</v>
      </c>
      <c r="AO65" s="15">
        <v>30272.9</v>
      </c>
      <c r="AP65" s="15">
        <v>30297.5</v>
      </c>
      <c r="AQ65" s="15">
        <v>30321.8</v>
      </c>
      <c r="AR65" s="15">
        <v>30566.3</v>
      </c>
      <c r="AS65" s="15">
        <v>30582.2</v>
      </c>
      <c r="AT65" s="15">
        <v>30589</v>
      </c>
      <c r="AU65" s="15">
        <v>30607.1</v>
      </c>
      <c r="AV65" s="15">
        <v>30820.5</v>
      </c>
      <c r="AW65" s="15">
        <v>30845.8</v>
      </c>
      <c r="AX65" s="15">
        <v>30881.2</v>
      </c>
      <c r="AY65" s="16"/>
      <c r="AZ65" s="17" cm="1">
        <f t="array" ref="AZ65">AL65</f>
        <v>29987.3</v>
      </c>
      <c r="BA65" s="17" cm="1">
        <f t="array" ref="BA65">AX65</f>
        <v>30881.2</v>
      </c>
      <c r="BB65" s="17" cm="1">
        <f t="array" ref="BB65">BA65</f>
        <v>30881.2</v>
      </c>
    </row>
    <row r="66" ht="15" customHeight="1">
      <c r="B66" s="18" t="s">
        <v>65</v>
      </c>
      <c r="C66" s="15">
        <v>145964.4</v>
      </c>
      <c r="D66" s="15">
        <v>145932.3</v>
      </c>
      <c r="E66" s="15">
        <v>145897</v>
      </c>
      <c r="F66" s="15">
        <v>145864.2</v>
      </c>
      <c r="G66" s="15">
        <v>145822.8</v>
      </c>
      <c r="H66" s="15">
        <v>145779.5</v>
      </c>
      <c r="I66" s="15">
        <v>145743.5</v>
      </c>
      <c r="J66" s="15">
        <v>145711.6</v>
      </c>
      <c r="K66" s="15">
        <v>145674</v>
      </c>
      <c r="L66" s="15">
        <v>145634.2</v>
      </c>
      <c r="M66" s="15">
        <v>145593.1</v>
      </c>
      <c r="N66" s="15">
        <v>145558</v>
      </c>
      <c r="O66" s="15">
        <v>145521</v>
      </c>
      <c r="P66" s="15">
        <v>145484.5</v>
      </c>
      <c r="Q66" s="15">
        <v>145437.3</v>
      </c>
      <c r="R66" s="15">
        <v>145391.7</v>
      </c>
      <c r="S66" s="15">
        <v>145348.7</v>
      </c>
      <c r="T66" s="15">
        <v>145306.6</v>
      </c>
      <c r="U66" s="15">
        <v>145263.1</v>
      </c>
      <c r="V66" s="15">
        <v>152827.6</v>
      </c>
      <c r="W66" s="15">
        <v>152783.4</v>
      </c>
      <c r="X66" s="15">
        <v>152742.9</v>
      </c>
      <c r="Y66" s="15">
        <v>152696.7</v>
      </c>
      <c r="Z66" s="15">
        <v>152654</v>
      </c>
      <c r="AA66" s="15">
        <v>152612.6</v>
      </c>
      <c r="AB66" s="15">
        <v>152573.8</v>
      </c>
      <c r="AC66" s="15">
        <v>152526.7</v>
      </c>
      <c r="AD66" s="15">
        <v>152486.4</v>
      </c>
      <c r="AE66" s="15">
        <v>152442.9</v>
      </c>
      <c r="AF66" s="15">
        <v>152398.9</v>
      </c>
      <c r="AG66" s="15">
        <v>152356.9</v>
      </c>
      <c r="AH66" s="15">
        <v>152320.6</v>
      </c>
      <c r="AI66" s="15">
        <v>152277</v>
      </c>
      <c r="AJ66" s="15">
        <v>152228.8</v>
      </c>
      <c r="AK66" s="15">
        <v>152181.6</v>
      </c>
      <c r="AL66" s="15">
        <v>152134</v>
      </c>
      <c r="AM66" s="15">
        <v>152087.8</v>
      </c>
      <c r="AN66" s="15">
        <v>152038.6</v>
      </c>
      <c r="AO66" s="15">
        <v>151985.3</v>
      </c>
      <c r="AP66" s="15">
        <v>151933.1</v>
      </c>
      <c r="AQ66" s="15">
        <v>151877.5</v>
      </c>
      <c r="AR66" s="15">
        <v>151826.1</v>
      </c>
      <c r="AS66" s="15">
        <v>151781.3</v>
      </c>
      <c r="AT66" s="15">
        <v>151730.9</v>
      </c>
      <c r="AU66" s="15">
        <v>151682.4</v>
      </c>
      <c r="AV66" s="15">
        <v>151623.6</v>
      </c>
      <c r="AW66" s="15">
        <v>151565.9</v>
      </c>
      <c r="AX66" s="15">
        <v>151520</v>
      </c>
      <c r="AY66" s="16"/>
      <c r="AZ66" s="17" cm="1">
        <f t="array" ref="AZ66">AL66</f>
        <v>152134</v>
      </c>
      <c r="BA66" s="17" cm="1">
        <f t="array" ref="BA66">AX66</f>
        <v>151520</v>
      </c>
      <c r="BB66" s="17" cm="1">
        <f t="array" ref="BB66">BA66</f>
        <v>151520</v>
      </c>
    </row>
    <row r="67" ht="15" customHeight="1">
      <c r="B67" s="18" t="s">
        <v>66</v>
      </c>
      <c r="C67" s="15">
        <v>3400</v>
      </c>
      <c r="D67" s="15">
        <v>3412</v>
      </c>
      <c r="E67" s="15">
        <v>3424</v>
      </c>
      <c r="F67" s="15">
        <v>3436</v>
      </c>
      <c r="G67" s="15">
        <v>3448</v>
      </c>
      <c r="H67" s="15">
        <v>3460</v>
      </c>
      <c r="I67" s="15">
        <v>3472</v>
      </c>
      <c r="J67" s="15">
        <v>3484</v>
      </c>
      <c r="K67" s="15">
        <v>3496</v>
      </c>
      <c r="L67" s="15">
        <v>3508</v>
      </c>
      <c r="M67" s="15">
        <v>3520</v>
      </c>
      <c r="N67" s="15">
        <v>3532</v>
      </c>
      <c r="O67" s="15">
        <v>3544</v>
      </c>
      <c r="P67" s="15">
        <v>3556</v>
      </c>
      <c r="Q67" s="15">
        <v>3568</v>
      </c>
      <c r="R67" s="15">
        <v>3580</v>
      </c>
      <c r="S67" s="15">
        <v>3592</v>
      </c>
      <c r="T67" s="15">
        <v>3604</v>
      </c>
      <c r="U67" s="15">
        <v>3616</v>
      </c>
      <c r="V67" s="15">
        <v>3628</v>
      </c>
      <c r="W67" s="15">
        <v>3640</v>
      </c>
      <c r="X67" s="15">
        <v>3652</v>
      </c>
      <c r="Y67" s="15">
        <v>3664</v>
      </c>
      <c r="Z67" s="15">
        <v>3676</v>
      </c>
      <c r="AA67" s="15">
        <v>3688</v>
      </c>
      <c r="AB67" s="15">
        <v>3700</v>
      </c>
      <c r="AC67" s="15">
        <v>3712</v>
      </c>
      <c r="AD67" s="15">
        <v>3724</v>
      </c>
      <c r="AE67" s="15">
        <v>3736</v>
      </c>
      <c r="AF67" s="15">
        <v>3748</v>
      </c>
      <c r="AG67" s="15">
        <v>3760</v>
      </c>
      <c r="AH67" s="15">
        <v>3772</v>
      </c>
      <c r="AI67" s="15">
        <v>3784</v>
      </c>
      <c r="AJ67" s="15">
        <v>3796</v>
      </c>
      <c r="AK67" s="15">
        <v>3808</v>
      </c>
      <c r="AL67" s="15">
        <v>3820</v>
      </c>
      <c r="AM67" s="15">
        <v>3832</v>
      </c>
      <c r="AN67" s="15">
        <v>3844</v>
      </c>
      <c r="AO67" s="15">
        <v>3856</v>
      </c>
      <c r="AP67" s="15">
        <v>3868</v>
      </c>
      <c r="AQ67" s="15">
        <v>3880</v>
      </c>
      <c r="AR67" s="15">
        <v>3892</v>
      </c>
      <c r="AS67" s="15">
        <v>3904</v>
      </c>
      <c r="AT67" s="15">
        <v>3916</v>
      </c>
      <c r="AU67" s="15">
        <v>3928</v>
      </c>
      <c r="AV67" s="15">
        <v>3940</v>
      </c>
      <c r="AW67" s="15">
        <v>3952</v>
      </c>
      <c r="AX67" s="15">
        <v>3964</v>
      </c>
      <c r="AY67" s="16"/>
      <c r="AZ67" s="17" cm="1">
        <f t="array" ref="AZ67">AL67</f>
        <v>3820</v>
      </c>
      <c r="BA67" s="17" cm="1">
        <f t="array" ref="BA67">AX67</f>
        <v>3964</v>
      </c>
      <c r="BB67" s="17" cm="1">
        <f t="array" ref="BB67">BA67</f>
        <v>3964</v>
      </c>
    </row>
    <row r="68" ht="15" customHeight="1">
      <c r="B68" s="19" t="s">
        <v>67</v>
      </c>
      <c r="C68" s="20">
        <f t="shared" si="21" ref="C68:BB68">SUM(C65:C67)</f>
        <v>176871.5</v>
      </c>
      <c r="D68" s="20">
        <f t="shared" si="21"/>
        <v>177043.3</v>
      </c>
      <c r="E68" s="20">
        <f t="shared" si="21"/>
        <v>177032</v>
      </c>
      <c r="F68" s="20">
        <f t="shared" si="21"/>
        <v>177027</v>
      </c>
      <c r="G68" s="20">
        <f t="shared" si="21"/>
        <v>177004.1</v>
      </c>
      <c r="H68" s="20">
        <f t="shared" si="21"/>
        <v>177182.3</v>
      </c>
      <c r="I68" s="20">
        <f t="shared" si="21"/>
        <v>177167.8</v>
      </c>
      <c r="J68" s="20">
        <f t="shared" si="21"/>
        <v>177164.2</v>
      </c>
      <c r="K68" s="20">
        <f t="shared" si="21"/>
        <v>177163.5</v>
      </c>
      <c r="L68" s="20">
        <f t="shared" si="21"/>
        <v>177386.4</v>
      </c>
      <c r="M68" s="20">
        <f t="shared" si="21"/>
        <v>177373.1</v>
      </c>
      <c r="N68" s="20">
        <f t="shared" si="21"/>
        <v>177367.1</v>
      </c>
      <c r="O68" s="20">
        <f t="shared" si="21"/>
        <v>177358.2</v>
      </c>
      <c r="P68" s="20">
        <f t="shared" si="21"/>
        <v>177523.2</v>
      </c>
      <c r="Q68" s="20">
        <f t="shared" si="21"/>
        <v>177498.5</v>
      </c>
      <c r="R68" s="20">
        <f t="shared" si="21"/>
        <v>177470.3</v>
      </c>
      <c r="S68" s="20">
        <f t="shared" si="21"/>
        <v>177452.5</v>
      </c>
      <c r="T68" s="20">
        <f t="shared" si="21"/>
        <v>177666.2</v>
      </c>
      <c r="U68" s="20">
        <f t="shared" si="21"/>
        <v>177640.9</v>
      </c>
      <c r="V68" s="20">
        <f t="shared" si="21"/>
        <v>185234.2</v>
      </c>
      <c r="W68" s="20">
        <f t="shared" si="21"/>
        <v>185224.5</v>
      </c>
      <c r="X68" s="20">
        <f t="shared" si="21"/>
        <v>185374</v>
      </c>
      <c r="Y68" s="20">
        <f t="shared" si="21"/>
        <v>185354.8</v>
      </c>
      <c r="Z68" s="20">
        <f t="shared" si="21"/>
        <v>185338</v>
      </c>
      <c r="AA68" s="20">
        <f t="shared" si="21"/>
        <v>185321.2</v>
      </c>
      <c r="AB68" s="20">
        <f t="shared" si="21"/>
        <v>185542</v>
      </c>
      <c r="AC68" s="20">
        <f t="shared" si="21"/>
        <v>185525.1</v>
      </c>
      <c r="AD68" s="20">
        <f t="shared" si="21"/>
        <v>185528.8</v>
      </c>
      <c r="AE68" s="20">
        <f t="shared" si="21"/>
        <v>185525.1</v>
      </c>
      <c r="AF68" s="20">
        <f t="shared" si="21"/>
        <v>185709.8</v>
      </c>
      <c r="AG68" s="20">
        <f t="shared" si="21"/>
        <v>185689.8</v>
      </c>
      <c r="AH68" s="20">
        <f t="shared" si="21"/>
        <v>185678.3</v>
      </c>
      <c r="AI68" s="20">
        <f t="shared" si="21"/>
        <v>185676.1</v>
      </c>
      <c r="AJ68" s="20">
        <f t="shared" si="21"/>
        <v>185969.3</v>
      </c>
      <c r="AK68" s="20">
        <f t="shared" si="21"/>
        <v>185957</v>
      </c>
      <c r="AL68" s="20">
        <f t="shared" si="21"/>
        <v>185941.3</v>
      </c>
      <c r="AM68" s="20">
        <f t="shared" si="21"/>
        <v>185916.2</v>
      </c>
      <c r="AN68" s="20">
        <f t="shared" si="21"/>
        <v>186127.2</v>
      </c>
      <c r="AO68" s="20">
        <f t="shared" si="21"/>
        <v>186114.2</v>
      </c>
      <c r="AP68" s="20">
        <f t="shared" si="21"/>
        <v>186098.6</v>
      </c>
      <c r="AQ68" s="20">
        <f t="shared" si="21"/>
        <v>186079.3</v>
      </c>
      <c r="AR68" s="20">
        <f t="shared" si="21"/>
        <v>186284.4</v>
      </c>
      <c r="AS68" s="20">
        <f t="shared" si="21"/>
        <v>186267.5</v>
      </c>
      <c r="AT68" s="20">
        <f t="shared" si="21"/>
        <v>186235.9</v>
      </c>
      <c r="AU68" s="20">
        <f t="shared" si="21"/>
        <v>186217.5</v>
      </c>
      <c r="AV68" s="20">
        <f t="shared" si="21"/>
        <v>186384.1</v>
      </c>
      <c r="AW68" s="20">
        <f t="shared" si="21"/>
        <v>186363.7</v>
      </c>
      <c r="AX68" s="20">
        <f t="shared" si="21"/>
        <v>186365.2</v>
      </c>
      <c r="AY68" s="21"/>
      <c r="AZ68" s="22">
        <f t="shared" si="21"/>
        <v>185941.3</v>
      </c>
      <c r="BA68" s="22">
        <f t="shared" si="21"/>
        <v>186365.2</v>
      </c>
      <c r="BB68" s="22">
        <f t="shared" si="21"/>
        <v>186365.2</v>
      </c>
    </row>
    <row r="69" ht="15" customHeight="1">
      <c r="B69" s="18" t="s">
        <v>68</v>
      </c>
      <c r="C69" s="15">
        <v>6904.5</v>
      </c>
      <c r="D69" s="15">
        <v>7023.1</v>
      </c>
      <c r="E69" s="15">
        <v>7916.9</v>
      </c>
      <c r="F69" s="15">
        <v>7516.4</v>
      </c>
      <c r="G69" s="15">
        <v>7830.1</v>
      </c>
      <c r="H69" s="15">
        <v>8151.5</v>
      </c>
      <c r="I69" s="15">
        <v>7099.1</v>
      </c>
      <c r="J69" s="15">
        <v>6930.5</v>
      </c>
      <c r="K69" s="15">
        <v>8249.1</v>
      </c>
      <c r="L69" s="15">
        <v>8630.6</v>
      </c>
      <c r="M69" s="15">
        <v>8528.3</v>
      </c>
      <c r="N69" s="15">
        <v>7895.6</v>
      </c>
      <c r="O69" s="15">
        <v>7704.5</v>
      </c>
      <c r="P69" s="15">
        <v>7979.3</v>
      </c>
      <c r="Q69" s="15">
        <v>8692.1</v>
      </c>
      <c r="R69" s="15">
        <v>8383.1</v>
      </c>
      <c r="S69" s="15">
        <v>8734.1</v>
      </c>
      <c r="T69" s="15">
        <v>9253</v>
      </c>
      <c r="U69" s="15">
        <v>7995.2</v>
      </c>
      <c r="V69" s="15">
        <v>7669.7</v>
      </c>
      <c r="W69" s="15">
        <v>9422.4</v>
      </c>
      <c r="X69" s="15">
        <v>9498.8</v>
      </c>
      <c r="Y69" s="15">
        <v>9766.6</v>
      </c>
      <c r="Z69" s="15">
        <v>8837.9</v>
      </c>
      <c r="AA69" s="15">
        <v>8501.9</v>
      </c>
      <c r="AB69" s="15">
        <v>8627</v>
      </c>
      <c r="AC69" s="15">
        <v>9667.6</v>
      </c>
      <c r="AD69" s="15">
        <v>9445.2</v>
      </c>
      <c r="AE69" s="15">
        <v>9512.5</v>
      </c>
      <c r="AF69" s="15">
        <v>10057.9</v>
      </c>
      <c r="AG69" s="15">
        <v>8841.1</v>
      </c>
      <c r="AH69" s="15">
        <v>8425</v>
      </c>
      <c r="AI69" s="15">
        <v>10194.9</v>
      </c>
      <c r="AJ69" s="15">
        <v>10409.6</v>
      </c>
      <c r="AK69" s="15">
        <v>10388</v>
      </c>
      <c r="AL69" s="15">
        <v>9581.2</v>
      </c>
      <c r="AM69" s="15">
        <v>9424.8</v>
      </c>
      <c r="AN69" s="15">
        <v>9512.3</v>
      </c>
      <c r="AO69" s="15">
        <v>10541.7</v>
      </c>
      <c r="AP69" s="15">
        <v>10162.4</v>
      </c>
      <c r="AQ69" s="15">
        <v>10448.1</v>
      </c>
      <c r="AR69" s="15">
        <v>10858.7</v>
      </c>
      <c r="AS69" s="15">
        <v>9626.1</v>
      </c>
      <c r="AT69" s="15">
        <v>9226.4</v>
      </c>
      <c r="AU69" s="15">
        <v>10939.9</v>
      </c>
      <c r="AV69" s="15">
        <v>11441.1</v>
      </c>
      <c r="AW69" s="15">
        <v>11439.5</v>
      </c>
      <c r="AX69" s="15">
        <v>10652.2</v>
      </c>
      <c r="AY69" s="16"/>
      <c r="AZ69" s="17" cm="1">
        <f t="array" ref="AZ69">AL69</f>
        <v>9581.2</v>
      </c>
      <c r="BA69" s="17" cm="1">
        <f t="array" ref="BA69">AX69</f>
        <v>10652.2</v>
      </c>
      <c r="BB69" s="17" cm="1">
        <f t="array" ref="BB69">BA69</f>
        <v>10652.2</v>
      </c>
    </row>
    <row r="70" ht="15" customHeight="1">
      <c r="B70" s="18" t="s">
        <v>69</v>
      </c>
      <c r="C70" s="15">
        <v>-2505.2</v>
      </c>
      <c r="D70" s="15">
        <v>-2644.9</v>
      </c>
      <c r="E70" s="15">
        <v>-2996.8</v>
      </c>
      <c r="F70" s="15">
        <v>-2686.4</v>
      </c>
      <c r="G70" s="15">
        <v>-2803.8</v>
      </c>
      <c r="H70" s="15">
        <v>-2930.7</v>
      </c>
      <c r="I70" s="15">
        <v>-2552.5</v>
      </c>
      <c r="J70" s="15">
        <v>-2537.6</v>
      </c>
      <c r="K70" s="15">
        <v>-3042.9</v>
      </c>
      <c r="L70" s="15">
        <v>-3109.9</v>
      </c>
      <c r="M70" s="15">
        <v>-3015.2</v>
      </c>
      <c r="N70" s="15">
        <v>-2877.3</v>
      </c>
      <c r="O70" s="15">
        <v>-2797.6</v>
      </c>
      <c r="P70" s="15">
        <v>-2938.7</v>
      </c>
      <c r="Q70" s="15">
        <v>-3289.2</v>
      </c>
      <c r="R70" s="15">
        <v>-3114.7</v>
      </c>
      <c r="S70" s="15">
        <v>-3204.9</v>
      </c>
      <c r="T70" s="15">
        <v>-3420.2</v>
      </c>
      <c r="U70" s="15">
        <v>-2967.4</v>
      </c>
      <c r="V70" s="15">
        <v>-2721.7</v>
      </c>
      <c r="W70" s="15">
        <v>-3552.3</v>
      </c>
      <c r="X70" s="15">
        <v>-3551.3</v>
      </c>
      <c r="Y70" s="15">
        <v>-3675.7</v>
      </c>
      <c r="Z70" s="15">
        <v>-3308.4</v>
      </c>
      <c r="AA70" s="15">
        <v>-3092.4</v>
      </c>
      <c r="AB70" s="15">
        <v>-3139.4</v>
      </c>
      <c r="AC70" s="15">
        <v>-3443.2</v>
      </c>
      <c r="AD70" s="15">
        <v>-3495.3</v>
      </c>
      <c r="AE70" s="15">
        <v>-3377.7</v>
      </c>
      <c r="AF70" s="15">
        <v>-3572.8</v>
      </c>
      <c r="AG70" s="15">
        <v>-3173.2</v>
      </c>
      <c r="AH70" s="15">
        <v>-3013.7</v>
      </c>
      <c r="AI70" s="15">
        <v>-3694.1</v>
      </c>
      <c r="AJ70" s="15">
        <v>-3693.7</v>
      </c>
      <c r="AK70" s="15">
        <v>-3671.7</v>
      </c>
      <c r="AL70" s="15">
        <v>-3424.4</v>
      </c>
      <c r="AM70" s="15">
        <v>-3356.3</v>
      </c>
      <c r="AN70" s="15">
        <v>-3452.7</v>
      </c>
      <c r="AO70" s="15">
        <v>-3733.1</v>
      </c>
      <c r="AP70" s="15">
        <v>-3824.6</v>
      </c>
      <c r="AQ70" s="15">
        <v>-3860.9</v>
      </c>
      <c r="AR70" s="15">
        <v>-3880.3</v>
      </c>
      <c r="AS70" s="15">
        <v>-3465.9</v>
      </c>
      <c r="AT70" s="15">
        <v>-3345.1</v>
      </c>
      <c r="AU70" s="15">
        <v>-3971.1</v>
      </c>
      <c r="AV70" s="15">
        <v>-4080.8</v>
      </c>
      <c r="AW70" s="15">
        <v>-4297.6</v>
      </c>
      <c r="AX70" s="15">
        <v>-4042.1</v>
      </c>
      <c r="AY70" s="16"/>
      <c r="AZ70" s="17" cm="1">
        <f t="array" ref="AZ70">AL70</f>
        <v>-3424.4</v>
      </c>
      <c r="BA70" s="17" cm="1">
        <f t="array" ref="BA70">AX70</f>
        <v>-4042.1</v>
      </c>
      <c r="BB70" s="17" cm="1">
        <f t="array" ref="BB70">BA70</f>
        <v>-4042.1</v>
      </c>
    </row>
    <row r="71" ht="15" customHeight="1">
      <c r="B71" s="18" t="s">
        <v>70</v>
      </c>
      <c r="C71" s="15">
        <v>1148.2</v>
      </c>
      <c r="D71" s="15">
        <v>1212.2</v>
      </c>
      <c r="E71" s="15">
        <v>1373.5</v>
      </c>
      <c r="F71" s="15">
        <v>1231.3</v>
      </c>
      <c r="G71" s="15">
        <v>1285.1</v>
      </c>
      <c r="H71" s="15">
        <v>1343.2</v>
      </c>
      <c r="I71" s="15">
        <v>1169.9</v>
      </c>
      <c r="J71" s="15">
        <v>1163</v>
      </c>
      <c r="K71" s="15">
        <v>1394.6</v>
      </c>
      <c r="L71" s="15">
        <v>1425.4</v>
      </c>
      <c r="M71" s="15">
        <v>1382</v>
      </c>
      <c r="N71" s="15">
        <v>1318.8</v>
      </c>
      <c r="O71" s="15">
        <v>1282.2</v>
      </c>
      <c r="P71" s="15">
        <v>1346.9</v>
      </c>
      <c r="Q71" s="15">
        <v>1507.5</v>
      </c>
      <c r="R71" s="15">
        <v>1427.6</v>
      </c>
      <c r="S71" s="15">
        <v>1468.9</v>
      </c>
      <c r="T71" s="15">
        <v>1567.6</v>
      </c>
      <c r="U71" s="15">
        <v>1360.1</v>
      </c>
      <c r="V71" s="15">
        <v>1247.5</v>
      </c>
      <c r="W71" s="15">
        <v>1628.1</v>
      </c>
      <c r="X71" s="15">
        <v>1627.7</v>
      </c>
      <c r="Y71" s="15">
        <v>1684.7</v>
      </c>
      <c r="Z71" s="15">
        <v>1516.4</v>
      </c>
      <c r="AA71" s="15">
        <v>1417.4</v>
      </c>
      <c r="AB71" s="15">
        <v>1438.9</v>
      </c>
      <c r="AC71" s="15">
        <v>1578.1</v>
      </c>
      <c r="AD71" s="15">
        <v>1602</v>
      </c>
      <c r="AE71" s="15">
        <v>1548.1</v>
      </c>
      <c r="AF71" s="15">
        <v>1637.5</v>
      </c>
      <c r="AG71" s="15">
        <v>1454.4</v>
      </c>
      <c r="AH71" s="15">
        <v>1381.3</v>
      </c>
      <c r="AI71" s="15">
        <v>1693.1</v>
      </c>
      <c r="AJ71" s="15">
        <v>1692.9</v>
      </c>
      <c r="AK71" s="15">
        <v>1682.9</v>
      </c>
      <c r="AL71" s="15">
        <v>1569.5</v>
      </c>
      <c r="AM71" s="15">
        <v>1538.3</v>
      </c>
      <c r="AN71" s="15">
        <v>1582.5</v>
      </c>
      <c r="AO71" s="15">
        <v>1711</v>
      </c>
      <c r="AP71" s="15">
        <v>1753</v>
      </c>
      <c r="AQ71" s="15">
        <v>1769.6</v>
      </c>
      <c r="AR71" s="15">
        <v>1778.5</v>
      </c>
      <c r="AS71" s="15">
        <v>1588.6</v>
      </c>
      <c r="AT71" s="15">
        <v>1533.2</v>
      </c>
      <c r="AU71" s="15">
        <v>1820.1</v>
      </c>
      <c r="AV71" s="15">
        <v>1870.3</v>
      </c>
      <c r="AW71" s="15">
        <v>1969.7</v>
      </c>
      <c r="AX71" s="15">
        <v>1852.6</v>
      </c>
      <c r="AY71" s="16"/>
      <c r="AZ71" s="17" cm="1">
        <f t="array" ref="AZ71">AL71</f>
        <v>1569.5</v>
      </c>
      <c r="BA71" s="17" cm="1">
        <f t="array" ref="BA71">AX71</f>
        <v>1852.6</v>
      </c>
      <c r="BB71" s="17" cm="1">
        <f t="array" ref="BB71">BA71</f>
        <v>1852.6</v>
      </c>
    </row>
    <row r="72" ht="15" customHeight="1">
      <c r="B72" s="18" t="s">
        <v>71</v>
      </c>
      <c r="C72" s="15">
        <v>-2100.1</v>
      </c>
      <c r="D72" s="15">
        <v>-2136.2</v>
      </c>
      <c r="E72" s="15">
        <v>-2408.1</v>
      </c>
      <c r="F72" s="15">
        <v>-2286.2</v>
      </c>
      <c r="G72" s="15">
        <v>-2381.7</v>
      </c>
      <c r="H72" s="15">
        <v>-2479.4</v>
      </c>
      <c r="I72" s="15">
        <v>-2159.3</v>
      </c>
      <c r="J72" s="15">
        <v>-2108</v>
      </c>
      <c r="K72" s="15">
        <v>-2509.1</v>
      </c>
      <c r="L72" s="15">
        <v>-2625.2</v>
      </c>
      <c r="M72" s="15">
        <v>-2594</v>
      </c>
      <c r="N72" s="15">
        <v>-2401.6</v>
      </c>
      <c r="O72" s="15">
        <v>-2343.4</v>
      </c>
      <c r="P72" s="15">
        <v>-2427</v>
      </c>
      <c r="Q72" s="15">
        <v>-2643.9</v>
      </c>
      <c r="R72" s="15">
        <v>-2549.9</v>
      </c>
      <c r="S72" s="15">
        <v>-2656.6</v>
      </c>
      <c r="T72" s="15">
        <v>-2814.5</v>
      </c>
      <c r="U72" s="15">
        <v>-2431.9</v>
      </c>
      <c r="V72" s="15">
        <v>-2332.9</v>
      </c>
      <c r="W72" s="15">
        <v>-2866</v>
      </c>
      <c r="X72" s="15">
        <v>-2889.2</v>
      </c>
      <c r="Y72" s="15">
        <v>-2970.7</v>
      </c>
      <c r="Z72" s="15">
        <v>-2688.2</v>
      </c>
      <c r="AA72" s="15">
        <v>-2586</v>
      </c>
      <c r="AB72" s="15">
        <v>-2624.1</v>
      </c>
      <c r="AC72" s="15">
        <v>-2940.6</v>
      </c>
      <c r="AD72" s="15">
        <v>-2872.9</v>
      </c>
      <c r="AE72" s="15">
        <v>-2893.4</v>
      </c>
      <c r="AF72" s="15">
        <v>-3059.3</v>
      </c>
      <c r="AG72" s="15">
        <v>-2689.2</v>
      </c>
      <c r="AH72" s="15">
        <v>-2562.6</v>
      </c>
      <c r="AI72" s="15">
        <v>-3101</v>
      </c>
      <c r="AJ72" s="15">
        <v>-3166.2</v>
      </c>
      <c r="AK72" s="15">
        <v>-3159.7</v>
      </c>
      <c r="AL72" s="15">
        <v>-2914.3</v>
      </c>
      <c r="AM72" s="15">
        <v>-2866.7</v>
      </c>
      <c r="AN72" s="15">
        <v>-2893.3</v>
      </c>
      <c r="AO72" s="15">
        <v>-3206.4</v>
      </c>
      <c r="AP72" s="15">
        <v>-3091.1</v>
      </c>
      <c r="AQ72" s="15">
        <v>-3178</v>
      </c>
      <c r="AR72" s="15">
        <v>-3302.9</v>
      </c>
      <c r="AS72" s="15">
        <v>-2927.9</v>
      </c>
      <c r="AT72" s="15">
        <v>-2806.4</v>
      </c>
      <c r="AU72" s="15">
        <v>-3327.6</v>
      </c>
      <c r="AV72" s="15">
        <v>-3480</v>
      </c>
      <c r="AW72" s="15">
        <v>-3479.5</v>
      </c>
      <c r="AX72" s="15">
        <v>-3240.1</v>
      </c>
      <c r="AY72" s="16"/>
      <c r="AZ72" s="17" cm="1">
        <f t="array" ref="AZ72">AL72</f>
        <v>-2914.3</v>
      </c>
      <c r="BA72" s="17" cm="1">
        <f t="array" ref="BA72">AX72</f>
        <v>-3240.1</v>
      </c>
      <c r="BB72" s="17" cm="1">
        <f t="array" ref="BB72">BA72</f>
        <v>-3240.1</v>
      </c>
    </row>
    <row r="73" ht="15" customHeight="1">
      <c r="B73" s="19" t="s">
        <v>72</v>
      </c>
      <c r="C73" s="20">
        <f t="shared" si="7"/>
        <v>3447.4</v>
      </c>
      <c r="D73" s="20">
        <f t="shared" si="7"/>
        <v>3454.2</v>
      </c>
      <c r="E73" s="20">
        <f t="shared" si="7"/>
        <v>3885.5</v>
      </c>
      <c r="F73" s="20">
        <f t="shared" si="7"/>
        <v>3775.1</v>
      </c>
      <c r="G73" s="20">
        <f t="shared" si="7"/>
        <v>3929.7</v>
      </c>
      <c r="H73" s="20">
        <f t="shared" si="7"/>
        <v>4084.6</v>
      </c>
      <c r="I73" s="20">
        <f t="shared" si="7"/>
        <v>3557.2</v>
      </c>
      <c r="J73" s="20">
        <f t="shared" si="7"/>
        <v>3447.9</v>
      </c>
      <c r="K73" s="20">
        <f t="shared" si="7"/>
        <v>4091.7</v>
      </c>
      <c r="L73" s="20">
        <f t="shared" si="7"/>
        <v>4320.9</v>
      </c>
      <c r="M73" s="20">
        <f t="shared" si="7"/>
        <v>4301.1</v>
      </c>
      <c r="N73" s="20">
        <f t="shared" si="7"/>
        <v>3935.5</v>
      </c>
      <c r="O73" s="20">
        <f t="shared" si="7"/>
        <v>3845.7</v>
      </c>
      <c r="P73" s="20">
        <f t="shared" si="7"/>
        <v>3960.5</v>
      </c>
      <c r="Q73" s="20">
        <f t="shared" si="7"/>
        <v>4266.5</v>
      </c>
      <c r="R73" s="20">
        <f t="shared" si="7"/>
        <v>4146.1</v>
      </c>
      <c r="S73" s="20">
        <f t="shared" si="7"/>
        <v>4341.5</v>
      </c>
      <c r="T73" s="20">
        <f t="shared" si="7"/>
        <v>4585.9</v>
      </c>
      <c r="U73" s="20">
        <f t="shared" si="7"/>
        <v>3956</v>
      </c>
      <c r="V73" s="20">
        <f t="shared" si="7"/>
        <v>3862.6</v>
      </c>
      <c r="W73" s="20">
        <f t="shared" si="7"/>
        <v>4632.2</v>
      </c>
      <c r="X73" s="20">
        <f t="shared" si="7"/>
        <v>4686</v>
      </c>
      <c r="Y73" s="20">
        <f t="shared" si="7"/>
        <v>4804.9</v>
      </c>
      <c r="Z73" s="20">
        <f t="shared" si="7"/>
        <v>4357.7</v>
      </c>
      <c r="AA73" s="20">
        <f t="shared" si="7"/>
        <v>4240.9</v>
      </c>
      <c r="AB73" s="20">
        <f t="shared" si="7"/>
        <v>4302.4</v>
      </c>
      <c r="AC73" s="20">
        <f t="shared" si="7"/>
        <v>4861.9</v>
      </c>
      <c r="AD73" s="20">
        <f t="shared" si="7"/>
        <v>4679</v>
      </c>
      <c r="AE73" s="20">
        <f t="shared" si="7"/>
        <v>4789.5</v>
      </c>
      <c r="AF73" s="20">
        <f t="shared" si="7"/>
        <v>5063.3</v>
      </c>
      <c r="AG73" s="20">
        <f t="shared" si="7"/>
        <v>4433.1</v>
      </c>
      <c r="AH73" s="20">
        <f t="shared" si="7"/>
        <v>4230</v>
      </c>
      <c r="AI73" s="20">
        <f t="shared" si="7"/>
        <v>5092.9</v>
      </c>
      <c r="AJ73" s="20">
        <f t="shared" si="7"/>
        <v>5242.6</v>
      </c>
      <c r="AK73" s="20">
        <f t="shared" si="7"/>
        <v>5239.5</v>
      </c>
      <c r="AL73" s="20">
        <f t="shared" si="7"/>
        <v>4812</v>
      </c>
      <c r="AM73" s="20">
        <f t="shared" si="7"/>
        <v>4740.1</v>
      </c>
      <c r="AN73" s="20">
        <f t="shared" si="7"/>
        <v>4748.8</v>
      </c>
      <c r="AO73" s="20">
        <f t="shared" si="7"/>
        <v>5313.2</v>
      </c>
      <c r="AP73" s="20">
        <f t="shared" si="7"/>
        <v>4999.7</v>
      </c>
      <c r="AQ73" s="20">
        <f t="shared" si="7"/>
        <v>5178.8</v>
      </c>
      <c r="AR73" s="20">
        <f t="shared" si="7"/>
        <v>5454</v>
      </c>
      <c r="AS73" s="20">
        <f t="shared" si="7"/>
        <v>4820.9</v>
      </c>
      <c r="AT73" s="20">
        <f t="shared" si="7"/>
        <v>4608.1</v>
      </c>
      <c r="AU73" s="20">
        <f t="shared" si="7"/>
        <v>5461.3</v>
      </c>
      <c r="AV73" s="20">
        <f t="shared" si="7"/>
        <v>5750.6</v>
      </c>
      <c r="AW73" s="20">
        <f t="shared" si="7"/>
        <v>5632.1</v>
      </c>
      <c r="AX73" s="20">
        <f t="shared" si="7"/>
        <v>5222.6</v>
      </c>
      <c r="AY73" s="21"/>
      <c r="AZ73" s="22">
        <f t="shared" si="7"/>
        <v>4812</v>
      </c>
      <c r="BA73" s="22">
        <f t="shared" si="7"/>
        <v>5222.6</v>
      </c>
      <c r="BB73" s="22">
        <f t="shared" si="7"/>
        <v>5222.6</v>
      </c>
    </row>
    <row r="74" ht="15" customHeight="1">
      <c r="B74" s="18" t="s">
        <v>73</v>
      </c>
      <c r="C74" s="15">
        <v>1808.4</v>
      </c>
      <c r="D74" s="15">
        <v>1861.4</v>
      </c>
      <c r="E74" s="15">
        <v>1733.5</v>
      </c>
      <c r="F74" s="15">
        <v>1833.6</v>
      </c>
      <c r="G74" s="15">
        <v>1786.7</v>
      </c>
      <c r="H74" s="15">
        <v>1839.7</v>
      </c>
      <c r="I74" s="15">
        <v>1739.4</v>
      </c>
      <c r="J74" s="15">
        <v>1810.7</v>
      </c>
      <c r="K74" s="15">
        <v>1751.9</v>
      </c>
      <c r="L74" s="15">
        <v>1744.5</v>
      </c>
      <c r="M74" s="15">
        <v>1772.2</v>
      </c>
      <c r="N74" s="15">
        <v>1801.2</v>
      </c>
      <c r="O74" s="15">
        <v>1824.5</v>
      </c>
      <c r="P74" s="15">
        <v>1796</v>
      </c>
      <c r="Q74" s="15">
        <v>1866.3</v>
      </c>
      <c r="R74" s="15">
        <v>1739.1</v>
      </c>
      <c r="S74" s="15">
        <v>1813.3</v>
      </c>
      <c r="T74" s="15">
        <v>1858.6</v>
      </c>
      <c r="U74" s="15">
        <v>1844.4</v>
      </c>
      <c r="V74" s="15">
        <v>1815.4</v>
      </c>
      <c r="W74" s="15">
        <v>1779</v>
      </c>
      <c r="X74" s="15">
        <v>1760.8</v>
      </c>
      <c r="Y74" s="15">
        <v>1752.6</v>
      </c>
      <c r="Z74" s="15">
        <v>1828.5</v>
      </c>
      <c r="AA74" s="15">
        <v>1752.5</v>
      </c>
      <c r="AB74" s="15">
        <v>1730.1</v>
      </c>
      <c r="AC74" s="15">
        <v>1808</v>
      </c>
      <c r="AD74" s="15">
        <v>1746.2</v>
      </c>
      <c r="AE74" s="15">
        <v>1765.3</v>
      </c>
      <c r="AF74" s="15">
        <v>1770</v>
      </c>
      <c r="AG74" s="15">
        <v>1786.6</v>
      </c>
      <c r="AH74" s="15">
        <v>1778.2</v>
      </c>
      <c r="AI74" s="15">
        <v>1752.6</v>
      </c>
      <c r="AJ74" s="15">
        <v>1787.8</v>
      </c>
      <c r="AK74" s="15">
        <v>1861.3</v>
      </c>
      <c r="AL74" s="15">
        <v>1722.4</v>
      </c>
      <c r="AM74" s="15">
        <v>1865.6</v>
      </c>
      <c r="AN74" s="15">
        <v>1779.3</v>
      </c>
      <c r="AO74" s="15">
        <v>1765.3</v>
      </c>
      <c r="AP74" s="15">
        <v>1737.4</v>
      </c>
      <c r="AQ74" s="15">
        <v>1874.7</v>
      </c>
      <c r="AR74" s="15">
        <v>1870.9</v>
      </c>
      <c r="AS74" s="15">
        <v>1728.5</v>
      </c>
      <c r="AT74" s="15">
        <v>1864.7</v>
      </c>
      <c r="AU74" s="15">
        <v>1745.6</v>
      </c>
      <c r="AV74" s="15">
        <v>1784.7</v>
      </c>
      <c r="AW74" s="15">
        <v>1749.3</v>
      </c>
      <c r="AX74" s="15">
        <v>1802.9</v>
      </c>
      <c r="AY74" s="16"/>
      <c r="AZ74" s="17" cm="1">
        <f t="array" ref="AZ74">AL74</f>
        <v>1722.4</v>
      </c>
      <c r="BA74" s="17" cm="1">
        <f t="array" ref="BA74">AX74</f>
        <v>1802.9</v>
      </c>
      <c r="BB74" s="17" cm="1">
        <f t="array" ref="BB74">BA74</f>
        <v>1802.9</v>
      </c>
    </row>
    <row r="75" ht="15" customHeight="1">
      <c r="B75" s="19" t="s">
        <v>74</v>
      </c>
      <c r="C75" s="20">
        <f t="shared" si="22" ref="C75:BB75">C68+C73+C74</f>
        <v>182127.3</v>
      </c>
      <c r="D75" s="20">
        <f t="shared" si="22"/>
        <v>182358.9</v>
      </c>
      <c r="E75" s="20">
        <f t="shared" si="22"/>
        <v>182651</v>
      </c>
      <c r="F75" s="20">
        <f t="shared" si="22"/>
        <v>182635.7</v>
      </c>
      <c r="G75" s="20">
        <f t="shared" si="22"/>
        <v>182720.5</v>
      </c>
      <c r="H75" s="20">
        <f t="shared" si="22"/>
        <v>183106.6</v>
      </c>
      <c r="I75" s="20">
        <f t="shared" si="22"/>
        <v>182464.4</v>
      </c>
      <c r="J75" s="20">
        <f t="shared" si="22"/>
        <v>182422.8</v>
      </c>
      <c r="K75" s="20">
        <f t="shared" si="22"/>
        <v>183007.1</v>
      </c>
      <c r="L75" s="20">
        <f t="shared" si="22"/>
        <v>183451.8</v>
      </c>
      <c r="M75" s="20">
        <f t="shared" si="22"/>
        <v>183446.4</v>
      </c>
      <c r="N75" s="20">
        <f t="shared" si="22"/>
        <v>183103.8</v>
      </c>
      <c r="O75" s="20">
        <f t="shared" si="22"/>
        <v>183028.4</v>
      </c>
      <c r="P75" s="20">
        <f t="shared" si="22"/>
        <v>183279.7</v>
      </c>
      <c r="Q75" s="20">
        <f t="shared" si="22"/>
        <v>183631.3</v>
      </c>
      <c r="R75" s="20">
        <f t="shared" si="22"/>
        <v>183355.5</v>
      </c>
      <c r="S75" s="20">
        <f t="shared" si="22"/>
        <v>183607.3</v>
      </c>
      <c r="T75" s="20">
        <f t="shared" si="22"/>
        <v>184110.7</v>
      </c>
      <c r="U75" s="20">
        <f t="shared" si="22"/>
        <v>183441.3</v>
      </c>
      <c r="V75" s="20">
        <f t="shared" si="22"/>
        <v>190912.2</v>
      </c>
      <c r="W75" s="20">
        <f t="shared" si="22"/>
        <v>191635.7</v>
      </c>
      <c r="X75" s="20">
        <f t="shared" si="22"/>
        <v>191820.8</v>
      </c>
      <c r="Y75" s="20">
        <f t="shared" si="22"/>
        <v>191912.3</v>
      </c>
      <c r="Z75" s="20">
        <f t="shared" si="22"/>
        <v>191524.2</v>
      </c>
      <c r="AA75" s="20">
        <f t="shared" si="22"/>
        <v>191314.6</v>
      </c>
      <c r="AB75" s="20">
        <f t="shared" si="22"/>
        <v>191574.5</v>
      </c>
      <c r="AC75" s="20">
        <f t="shared" si="22"/>
        <v>192195</v>
      </c>
      <c r="AD75" s="20">
        <f t="shared" si="22"/>
        <v>191954</v>
      </c>
      <c r="AE75" s="20">
        <f t="shared" si="22"/>
        <v>192079.9</v>
      </c>
      <c r="AF75" s="20">
        <f t="shared" si="22"/>
        <v>192543.1</v>
      </c>
      <c r="AG75" s="20">
        <f t="shared" si="22"/>
        <v>191909.5</v>
      </c>
      <c r="AH75" s="20">
        <f t="shared" si="22"/>
        <v>191686.5</v>
      </c>
      <c r="AI75" s="20">
        <f t="shared" si="22"/>
        <v>192521.6</v>
      </c>
      <c r="AJ75" s="20">
        <f t="shared" si="22"/>
        <v>192999.7</v>
      </c>
      <c r="AK75" s="20">
        <f t="shared" si="22"/>
        <v>193057.8</v>
      </c>
      <c r="AL75" s="20">
        <f t="shared" si="22"/>
        <v>192475.7</v>
      </c>
      <c r="AM75" s="20">
        <f t="shared" si="22"/>
        <v>192521.9</v>
      </c>
      <c r="AN75" s="20">
        <f t="shared" si="22"/>
        <v>192655.3</v>
      </c>
      <c r="AO75" s="20">
        <f t="shared" si="22"/>
        <v>193192.7</v>
      </c>
      <c r="AP75" s="20">
        <f t="shared" si="22"/>
        <v>192835.7</v>
      </c>
      <c r="AQ75" s="20">
        <f t="shared" si="22"/>
        <v>193132.8</v>
      </c>
      <c r="AR75" s="20">
        <f t="shared" si="22"/>
        <v>193609.3</v>
      </c>
      <c r="AS75" s="20">
        <f t="shared" si="22"/>
        <v>192816.9</v>
      </c>
      <c r="AT75" s="20">
        <f t="shared" si="22"/>
        <v>192708.7</v>
      </c>
      <c r="AU75" s="20">
        <f t="shared" si="22"/>
        <v>193424.4</v>
      </c>
      <c r="AV75" s="20">
        <f t="shared" si="22"/>
        <v>193919.4</v>
      </c>
      <c r="AW75" s="20">
        <f t="shared" si="22"/>
        <v>193745.1</v>
      </c>
      <c r="AX75" s="20">
        <f t="shared" si="22"/>
        <v>193390.7</v>
      </c>
      <c r="AY75" s="21"/>
      <c r="AZ75" s="22">
        <f t="shared" si="22"/>
        <v>192475.7</v>
      </c>
      <c r="BA75" s="22">
        <f t="shared" si="22"/>
        <v>193390.7</v>
      </c>
      <c r="BB75" s="22">
        <f t="shared" si="22"/>
        <v>193390.7</v>
      </c>
    </row>
    <row r="76" ht="15" customHeight="1">
      <c r="B76" s="18" t="s">
        <v>75</v>
      </c>
      <c r="C76" s="15">
        <v>12000</v>
      </c>
      <c r="D76" s="15">
        <v>12000</v>
      </c>
      <c r="E76" s="15">
        <v>11750</v>
      </c>
      <c r="F76" s="15">
        <v>11750</v>
      </c>
      <c r="G76" s="15">
        <v>11750</v>
      </c>
      <c r="H76" s="15">
        <v>11500</v>
      </c>
      <c r="I76" s="15">
        <v>11500</v>
      </c>
      <c r="J76" s="15">
        <v>11500</v>
      </c>
      <c r="K76" s="15">
        <v>11250</v>
      </c>
      <c r="L76" s="15">
        <v>11250</v>
      </c>
      <c r="M76" s="15">
        <v>11250</v>
      </c>
      <c r="N76" s="15">
        <v>11000</v>
      </c>
      <c r="O76" s="15">
        <v>11000</v>
      </c>
      <c r="P76" s="15">
        <v>11000</v>
      </c>
      <c r="Q76" s="15">
        <v>10750</v>
      </c>
      <c r="R76" s="15">
        <v>10750</v>
      </c>
      <c r="S76" s="15">
        <v>10750</v>
      </c>
      <c r="T76" s="15">
        <v>10500</v>
      </c>
      <c r="U76" s="15">
        <v>10500</v>
      </c>
      <c r="V76" s="15">
        <v>10500</v>
      </c>
      <c r="W76" s="15">
        <v>10250</v>
      </c>
      <c r="X76" s="15">
        <v>10250</v>
      </c>
      <c r="Y76" s="15">
        <v>10250</v>
      </c>
      <c r="Z76" s="15">
        <v>10000</v>
      </c>
      <c r="AA76" s="15">
        <v>10000</v>
      </c>
      <c r="AB76" s="15">
        <v>10000</v>
      </c>
      <c r="AC76" s="15">
        <v>9750</v>
      </c>
      <c r="AD76" s="15">
        <v>9750</v>
      </c>
      <c r="AE76" s="15">
        <v>9750</v>
      </c>
      <c r="AF76" s="15">
        <v>9500</v>
      </c>
      <c r="AG76" s="15">
        <v>9500</v>
      </c>
      <c r="AH76" s="15">
        <v>9500</v>
      </c>
      <c r="AI76" s="15">
        <v>9250</v>
      </c>
      <c r="AJ76" s="15">
        <v>9250</v>
      </c>
      <c r="AK76" s="15">
        <v>9250</v>
      </c>
      <c r="AL76" s="15">
        <v>9000</v>
      </c>
      <c r="AM76" s="15">
        <v>9000</v>
      </c>
      <c r="AN76" s="15">
        <v>9000</v>
      </c>
      <c r="AO76" s="15">
        <v>8750</v>
      </c>
      <c r="AP76" s="15">
        <v>8750</v>
      </c>
      <c r="AQ76" s="15">
        <v>8750</v>
      </c>
      <c r="AR76" s="15">
        <v>8500</v>
      </c>
      <c r="AS76" s="15">
        <v>8500</v>
      </c>
      <c r="AT76" s="15">
        <v>8500</v>
      </c>
      <c r="AU76" s="15">
        <v>8250</v>
      </c>
      <c r="AV76" s="15">
        <v>8250</v>
      </c>
      <c r="AW76" s="15">
        <v>8250</v>
      </c>
      <c r="AX76" s="15">
        <v>8000</v>
      </c>
      <c r="AY76" s="16"/>
      <c r="AZ76" s="17" cm="1">
        <f t="array" ref="AZ76">AL76</f>
        <v>9000</v>
      </c>
      <c r="BA76" s="17" cm="1">
        <f t="array" ref="BA76">AX76</f>
        <v>8000</v>
      </c>
      <c r="BB76" s="17" cm="1">
        <f t="array" ref="BB76">BA76</f>
        <v>8000</v>
      </c>
    </row>
    <row r="77" ht="15" customHeight="1">
      <c r="B77" s="18" t="s">
        <v>76</v>
      </c>
      <c r="C77" s="15">
        <v>45000</v>
      </c>
      <c r="D77" s="15">
        <v>45000</v>
      </c>
      <c r="E77" s="15">
        <v>45000</v>
      </c>
      <c r="F77" s="15">
        <v>45000</v>
      </c>
      <c r="G77" s="15">
        <v>45000</v>
      </c>
      <c r="H77" s="15">
        <v>45000</v>
      </c>
      <c r="I77" s="15">
        <v>45000</v>
      </c>
      <c r="J77" s="15">
        <v>45000</v>
      </c>
      <c r="K77" s="15">
        <v>45000</v>
      </c>
      <c r="L77" s="15">
        <v>45000</v>
      </c>
      <c r="M77" s="15">
        <v>45000</v>
      </c>
      <c r="N77" s="15">
        <v>45000</v>
      </c>
      <c r="O77" s="15">
        <v>45000</v>
      </c>
      <c r="P77" s="15">
        <v>45000</v>
      </c>
      <c r="Q77" s="15">
        <v>45000</v>
      </c>
      <c r="R77" s="15">
        <v>45000</v>
      </c>
      <c r="S77" s="15">
        <v>45000</v>
      </c>
      <c r="T77" s="15">
        <v>45000</v>
      </c>
      <c r="U77" s="15">
        <v>45000</v>
      </c>
      <c r="V77" s="15">
        <v>53000</v>
      </c>
      <c r="W77" s="15">
        <v>53000</v>
      </c>
      <c r="X77" s="15">
        <v>53000</v>
      </c>
      <c r="Y77" s="15">
        <v>53000</v>
      </c>
      <c r="Z77" s="15">
        <v>53000</v>
      </c>
      <c r="AA77" s="15">
        <v>53000</v>
      </c>
      <c r="AB77" s="15">
        <v>53000</v>
      </c>
      <c r="AC77" s="15">
        <v>53000</v>
      </c>
      <c r="AD77" s="15">
        <v>53000</v>
      </c>
      <c r="AE77" s="15">
        <v>53000</v>
      </c>
      <c r="AF77" s="15">
        <v>53000</v>
      </c>
      <c r="AG77" s="15">
        <v>53000</v>
      </c>
      <c r="AH77" s="15">
        <v>53000</v>
      </c>
      <c r="AI77" s="15">
        <v>53000</v>
      </c>
      <c r="AJ77" s="15">
        <v>53000</v>
      </c>
      <c r="AK77" s="15">
        <v>53000</v>
      </c>
      <c r="AL77" s="15">
        <v>53000</v>
      </c>
      <c r="AM77" s="15">
        <v>53000</v>
      </c>
      <c r="AN77" s="15">
        <v>53000</v>
      </c>
      <c r="AO77" s="15">
        <v>53000</v>
      </c>
      <c r="AP77" s="15">
        <v>53000</v>
      </c>
      <c r="AQ77" s="15">
        <v>53000</v>
      </c>
      <c r="AR77" s="15">
        <v>53000</v>
      </c>
      <c r="AS77" s="15">
        <v>53000</v>
      </c>
      <c r="AT77" s="15">
        <v>53000</v>
      </c>
      <c r="AU77" s="15">
        <v>53000</v>
      </c>
      <c r="AV77" s="15">
        <v>53000</v>
      </c>
      <c r="AW77" s="15">
        <v>53000</v>
      </c>
      <c r="AX77" s="15">
        <v>53000</v>
      </c>
      <c r="AY77" s="16"/>
      <c r="AZ77" s="17" cm="1">
        <f t="array" ref="AZ77">AL77</f>
        <v>53000</v>
      </c>
      <c r="BA77" s="17" cm="1">
        <f t="array" ref="BA77">AX77</f>
        <v>53000</v>
      </c>
      <c r="BB77" s="17" cm="1">
        <f t="array" ref="BB77">BA77</f>
        <v>53000</v>
      </c>
    </row>
    <row r="78" ht="15" customHeight="1">
      <c r="B78" s="18" t="s">
        <v>77</v>
      </c>
      <c r="C78" s="15">
        <v>12000</v>
      </c>
      <c r="D78" s="15">
        <v>12000</v>
      </c>
      <c r="E78" s="15">
        <v>12000</v>
      </c>
      <c r="F78" s="15">
        <v>12000</v>
      </c>
      <c r="G78" s="15">
        <v>12000</v>
      </c>
      <c r="H78" s="15">
        <v>12000</v>
      </c>
      <c r="I78" s="15">
        <v>12000</v>
      </c>
      <c r="J78" s="15">
        <v>12000</v>
      </c>
      <c r="K78" s="15">
        <v>12000</v>
      </c>
      <c r="L78" s="15">
        <v>12000</v>
      </c>
      <c r="M78" s="15">
        <v>12000</v>
      </c>
      <c r="N78" s="15">
        <v>12000</v>
      </c>
      <c r="O78" s="15">
        <v>12000</v>
      </c>
      <c r="P78" s="15">
        <v>12000</v>
      </c>
      <c r="Q78" s="15">
        <v>12000</v>
      </c>
      <c r="R78" s="15">
        <v>12000</v>
      </c>
      <c r="S78" s="15">
        <v>12000</v>
      </c>
      <c r="T78" s="15">
        <v>12000</v>
      </c>
      <c r="U78" s="15">
        <v>12000</v>
      </c>
      <c r="V78" s="15">
        <v>12000</v>
      </c>
      <c r="W78" s="15">
        <v>12000</v>
      </c>
      <c r="X78" s="15">
        <v>12000</v>
      </c>
      <c r="Y78" s="15">
        <v>12000</v>
      </c>
      <c r="Z78" s="15">
        <v>12000</v>
      </c>
      <c r="AA78" s="15">
        <v>12000</v>
      </c>
      <c r="AB78" s="15">
        <v>12000</v>
      </c>
      <c r="AC78" s="15">
        <v>12000</v>
      </c>
      <c r="AD78" s="15">
        <v>12000</v>
      </c>
      <c r="AE78" s="15">
        <v>12000</v>
      </c>
      <c r="AF78" s="15">
        <v>12000</v>
      </c>
      <c r="AG78" s="15">
        <v>12000</v>
      </c>
      <c r="AH78" s="15">
        <v>12000</v>
      </c>
      <c r="AI78" s="15">
        <v>12000</v>
      </c>
      <c r="AJ78" s="15">
        <v>12000</v>
      </c>
      <c r="AK78" s="15">
        <v>12000</v>
      </c>
      <c r="AL78" s="15">
        <v>12000</v>
      </c>
      <c r="AM78" s="15">
        <v>12000</v>
      </c>
      <c r="AN78" s="15">
        <v>12000</v>
      </c>
      <c r="AO78" s="15">
        <v>12000</v>
      </c>
      <c r="AP78" s="15">
        <v>12000</v>
      </c>
      <c r="AQ78" s="15">
        <v>12000</v>
      </c>
      <c r="AR78" s="15">
        <v>12000</v>
      </c>
      <c r="AS78" s="15">
        <v>12000</v>
      </c>
      <c r="AT78" s="15">
        <v>12000</v>
      </c>
      <c r="AU78" s="15">
        <v>12000</v>
      </c>
      <c r="AV78" s="15">
        <v>12000</v>
      </c>
      <c r="AW78" s="15">
        <v>12000</v>
      </c>
      <c r="AX78" s="15">
        <v>12000</v>
      </c>
      <c r="AY78" s="16"/>
      <c r="AZ78" s="17" cm="1">
        <f t="array" ref="AZ78">AL78</f>
        <v>12000</v>
      </c>
      <c r="BA78" s="17" cm="1">
        <f t="array" ref="BA78">AX78</f>
        <v>12000</v>
      </c>
      <c r="BB78" s="17" cm="1">
        <f t="array" ref="BB78">BA78</f>
        <v>12000</v>
      </c>
    </row>
    <row r="79" ht="15" customHeight="1">
      <c r="B79" s="18" t="s">
        <v>78</v>
      </c>
      <c r="C79" s="15">
        <v>2000</v>
      </c>
      <c r="D79" s="15">
        <v>2000</v>
      </c>
      <c r="E79" s="15">
        <v>2000</v>
      </c>
      <c r="F79" s="15">
        <v>2000</v>
      </c>
      <c r="G79" s="15">
        <v>2000</v>
      </c>
      <c r="H79" s="15">
        <v>2000</v>
      </c>
      <c r="I79" s="15">
        <v>2000</v>
      </c>
      <c r="J79" s="15">
        <v>2000</v>
      </c>
      <c r="K79" s="15">
        <v>2000</v>
      </c>
      <c r="L79" s="15">
        <v>2000</v>
      </c>
      <c r="M79" s="15">
        <v>2000</v>
      </c>
      <c r="N79" s="15">
        <v>2000</v>
      </c>
      <c r="O79" s="15">
        <v>2000</v>
      </c>
      <c r="P79" s="15">
        <v>2000</v>
      </c>
      <c r="Q79" s="15">
        <v>2000</v>
      </c>
      <c r="R79" s="15">
        <v>2000</v>
      </c>
      <c r="S79" s="15">
        <v>2000</v>
      </c>
      <c r="T79" s="15">
        <v>2000</v>
      </c>
      <c r="U79" s="15">
        <v>2000</v>
      </c>
      <c r="V79" s="15">
        <v>2000</v>
      </c>
      <c r="W79" s="15">
        <v>2000</v>
      </c>
      <c r="X79" s="15">
        <v>2000</v>
      </c>
      <c r="Y79" s="15">
        <v>2000</v>
      </c>
      <c r="Z79" s="15">
        <v>2000</v>
      </c>
      <c r="AA79" s="15">
        <v>2000</v>
      </c>
      <c r="AB79" s="15">
        <v>2000</v>
      </c>
      <c r="AC79" s="15">
        <v>2000</v>
      </c>
      <c r="AD79" s="15">
        <v>2000</v>
      </c>
      <c r="AE79" s="15">
        <v>2000</v>
      </c>
      <c r="AF79" s="15">
        <v>2000</v>
      </c>
      <c r="AG79" s="15">
        <v>2000</v>
      </c>
      <c r="AH79" s="15">
        <v>2000</v>
      </c>
      <c r="AI79" s="15">
        <v>2000</v>
      </c>
      <c r="AJ79" s="15">
        <v>2000</v>
      </c>
      <c r="AK79" s="15">
        <v>2000</v>
      </c>
      <c r="AL79" s="15">
        <v>2000</v>
      </c>
      <c r="AM79" s="15">
        <v>2000</v>
      </c>
      <c r="AN79" s="15">
        <v>2000</v>
      </c>
      <c r="AO79" s="15">
        <v>2000</v>
      </c>
      <c r="AP79" s="15">
        <v>2000</v>
      </c>
      <c r="AQ79" s="15">
        <v>2000</v>
      </c>
      <c r="AR79" s="15">
        <v>2000</v>
      </c>
      <c r="AS79" s="15">
        <v>2000</v>
      </c>
      <c r="AT79" s="15">
        <v>2000</v>
      </c>
      <c r="AU79" s="15">
        <v>2000</v>
      </c>
      <c r="AV79" s="15">
        <v>2000</v>
      </c>
      <c r="AW79" s="15">
        <v>2000</v>
      </c>
      <c r="AX79" s="15">
        <v>2000</v>
      </c>
      <c r="AY79" s="16"/>
      <c r="AZ79" s="17" cm="1">
        <f t="array" ref="AZ79">AL79</f>
        <v>2000</v>
      </c>
      <c r="BA79" s="17" cm="1">
        <f t="array" ref="BA79">AX79</f>
        <v>2000</v>
      </c>
      <c r="BB79" s="17" cm="1">
        <f t="array" ref="BB79">BA79</f>
        <v>2000</v>
      </c>
    </row>
    <row r="80" ht="15" customHeight="1">
      <c r="B80" s="19" t="s">
        <v>79</v>
      </c>
      <c r="C80" s="20">
        <f t="shared" si="7"/>
        <v>71000</v>
      </c>
      <c r="D80" s="20">
        <f t="shared" si="7"/>
        <v>71000</v>
      </c>
      <c r="E80" s="20">
        <f t="shared" si="7"/>
        <v>70750</v>
      </c>
      <c r="F80" s="20">
        <f t="shared" si="7"/>
        <v>70750</v>
      </c>
      <c r="G80" s="20">
        <f t="shared" si="7"/>
        <v>70750</v>
      </c>
      <c r="H80" s="20">
        <f t="shared" si="7"/>
        <v>70500</v>
      </c>
      <c r="I80" s="20">
        <f t="shared" si="7"/>
        <v>70500</v>
      </c>
      <c r="J80" s="20">
        <f t="shared" si="7"/>
        <v>70500</v>
      </c>
      <c r="K80" s="20">
        <f t="shared" si="7"/>
        <v>70250</v>
      </c>
      <c r="L80" s="20">
        <f t="shared" si="7"/>
        <v>70250</v>
      </c>
      <c r="M80" s="20">
        <f t="shared" si="7"/>
        <v>70250</v>
      </c>
      <c r="N80" s="20">
        <f t="shared" si="7"/>
        <v>70000</v>
      </c>
      <c r="O80" s="20">
        <f t="shared" si="7"/>
        <v>70000</v>
      </c>
      <c r="P80" s="20">
        <f t="shared" si="7"/>
        <v>70000</v>
      </c>
      <c r="Q80" s="20">
        <f t="shared" si="7"/>
        <v>69750</v>
      </c>
      <c r="R80" s="20">
        <f t="shared" si="7"/>
        <v>69750</v>
      </c>
      <c r="S80" s="20">
        <f t="shared" si="7"/>
        <v>69750</v>
      </c>
      <c r="T80" s="20">
        <f t="shared" si="7"/>
        <v>69500</v>
      </c>
      <c r="U80" s="20">
        <f t="shared" si="7"/>
        <v>69500</v>
      </c>
      <c r="V80" s="20">
        <f t="shared" si="7"/>
        <v>77500</v>
      </c>
      <c r="W80" s="20">
        <f t="shared" si="7"/>
        <v>77250</v>
      </c>
      <c r="X80" s="20">
        <f t="shared" si="7"/>
        <v>77250</v>
      </c>
      <c r="Y80" s="20">
        <f t="shared" si="7"/>
        <v>77250</v>
      </c>
      <c r="Z80" s="20">
        <f t="shared" si="7"/>
        <v>77000</v>
      </c>
      <c r="AA80" s="20">
        <f t="shared" si="7"/>
        <v>77000</v>
      </c>
      <c r="AB80" s="20">
        <f t="shared" si="7"/>
        <v>77000</v>
      </c>
      <c r="AC80" s="20">
        <f t="shared" si="7"/>
        <v>76750</v>
      </c>
      <c r="AD80" s="20">
        <f t="shared" si="7"/>
        <v>76750</v>
      </c>
      <c r="AE80" s="20">
        <f t="shared" si="7"/>
        <v>76750</v>
      </c>
      <c r="AF80" s="20">
        <f t="shared" si="7"/>
        <v>76500</v>
      </c>
      <c r="AG80" s="20">
        <f t="shared" si="7"/>
        <v>76500</v>
      </c>
      <c r="AH80" s="20">
        <f t="shared" si="7"/>
        <v>76500</v>
      </c>
      <c r="AI80" s="20">
        <f t="shared" si="7"/>
        <v>76250</v>
      </c>
      <c r="AJ80" s="20">
        <f t="shared" si="7"/>
        <v>76250</v>
      </c>
      <c r="AK80" s="20">
        <f t="shared" si="7"/>
        <v>76250</v>
      </c>
      <c r="AL80" s="20">
        <f t="shared" si="7"/>
        <v>76000</v>
      </c>
      <c r="AM80" s="20">
        <f t="shared" si="7"/>
        <v>76000</v>
      </c>
      <c r="AN80" s="20">
        <f t="shared" si="7"/>
        <v>76000</v>
      </c>
      <c r="AO80" s="20">
        <f t="shared" si="7"/>
        <v>75750</v>
      </c>
      <c r="AP80" s="20">
        <f t="shared" si="7"/>
        <v>75750</v>
      </c>
      <c r="AQ80" s="20">
        <f t="shared" si="7"/>
        <v>75750</v>
      </c>
      <c r="AR80" s="20">
        <f t="shared" si="7"/>
        <v>75500</v>
      </c>
      <c r="AS80" s="20">
        <f t="shared" si="7"/>
        <v>75500</v>
      </c>
      <c r="AT80" s="20">
        <f t="shared" si="7"/>
        <v>75500</v>
      </c>
      <c r="AU80" s="20">
        <f t="shared" si="7"/>
        <v>75250</v>
      </c>
      <c r="AV80" s="20">
        <f t="shared" si="7"/>
        <v>75250</v>
      </c>
      <c r="AW80" s="20">
        <f t="shared" si="7"/>
        <v>75250</v>
      </c>
      <c r="AX80" s="20">
        <f t="shared" si="7"/>
        <v>75000</v>
      </c>
      <c r="AY80" s="21"/>
      <c r="AZ80" s="22">
        <f t="shared" si="7"/>
        <v>76000</v>
      </c>
      <c r="BA80" s="22">
        <f t="shared" si="7"/>
        <v>75000</v>
      </c>
      <c r="BB80" s="22">
        <f t="shared" si="7"/>
        <v>75000</v>
      </c>
    </row>
    <row r="81" ht="15" customHeight="1">
      <c r="B81" s="18" t="s">
        <v>80</v>
      </c>
      <c r="C81" s="15">
        <v>480</v>
      </c>
      <c r="D81" s="15">
        <v>482</v>
      </c>
      <c r="E81" s="15">
        <v>484</v>
      </c>
      <c r="F81" s="15">
        <v>486</v>
      </c>
      <c r="G81" s="15">
        <v>488</v>
      </c>
      <c r="H81" s="15">
        <v>490</v>
      </c>
      <c r="I81" s="15">
        <v>492</v>
      </c>
      <c r="J81" s="15">
        <v>494</v>
      </c>
      <c r="K81" s="15">
        <v>496</v>
      </c>
      <c r="L81" s="15">
        <v>498</v>
      </c>
      <c r="M81" s="15">
        <v>500</v>
      </c>
      <c r="N81" s="15">
        <v>502</v>
      </c>
      <c r="O81" s="15">
        <v>504</v>
      </c>
      <c r="P81" s="15">
        <v>506</v>
      </c>
      <c r="Q81" s="15">
        <v>508</v>
      </c>
      <c r="R81" s="15">
        <v>510</v>
      </c>
      <c r="S81" s="15">
        <v>512</v>
      </c>
      <c r="T81" s="15">
        <v>514</v>
      </c>
      <c r="U81" s="15">
        <v>516</v>
      </c>
      <c r="V81" s="15">
        <v>518</v>
      </c>
      <c r="W81" s="15">
        <v>520</v>
      </c>
      <c r="X81" s="15">
        <v>522</v>
      </c>
      <c r="Y81" s="15">
        <v>524</v>
      </c>
      <c r="Z81" s="15">
        <v>526</v>
      </c>
      <c r="AA81" s="15">
        <v>528</v>
      </c>
      <c r="AB81" s="15">
        <v>530</v>
      </c>
      <c r="AC81" s="15">
        <v>532</v>
      </c>
      <c r="AD81" s="15">
        <v>534</v>
      </c>
      <c r="AE81" s="15">
        <v>536</v>
      </c>
      <c r="AF81" s="15">
        <v>538</v>
      </c>
      <c r="AG81" s="15">
        <v>540</v>
      </c>
      <c r="AH81" s="15">
        <v>542</v>
      </c>
      <c r="AI81" s="15">
        <v>544</v>
      </c>
      <c r="AJ81" s="15">
        <v>546</v>
      </c>
      <c r="AK81" s="15">
        <v>548</v>
      </c>
      <c r="AL81" s="15">
        <v>550</v>
      </c>
      <c r="AM81" s="15">
        <v>552</v>
      </c>
      <c r="AN81" s="15">
        <v>554</v>
      </c>
      <c r="AO81" s="15">
        <v>556</v>
      </c>
      <c r="AP81" s="15">
        <v>558</v>
      </c>
      <c r="AQ81" s="15">
        <v>560</v>
      </c>
      <c r="AR81" s="15">
        <v>562</v>
      </c>
      <c r="AS81" s="15">
        <v>564</v>
      </c>
      <c r="AT81" s="15">
        <v>566</v>
      </c>
      <c r="AU81" s="15">
        <v>568</v>
      </c>
      <c r="AV81" s="15">
        <v>570</v>
      </c>
      <c r="AW81" s="15">
        <v>572</v>
      </c>
      <c r="AX81" s="15">
        <v>574</v>
      </c>
      <c r="AY81" s="16"/>
      <c r="AZ81" s="17" cm="1">
        <f t="array" ref="AZ81">AL81</f>
        <v>550</v>
      </c>
      <c r="BA81" s="17" cm="1">
        <f t="array" ref="BA81">AX81</f>
        <v>574</v>
      </c>
      <c r="BB81" s="17" cm="1">
        <f t="array" ref="BB81">BA81</f>
        <v>574</v>
      </c>
    </row>
    <row r="82" ht="15" customHeight="1">
      <c r="B82" s="18" t="s">
        <v>81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5">
        <v>1500</v>
      </c>
      <c r="W82" s="15">
        <v>1500</v>
      </c>
      <c r="X82" s="15">
        <v>1500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5">
        <v>1500</v>
      </c>
      <c r="AI82" s="15">
        <v>1500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/>
      <c r="AZ82" s="17" cm="1">
        <f t="array" ref="AZ82">AL82</f>
        <v>0</v>
      </c>
      <c r="BA82" s="17" cm="1">
        <f t="array" ref="BA82">AX82</f>
        <v>0</v>
      </c>
      <c r="BB82" s="17" cm="1">
        <f t="array" ref="BB82">BA82</f>
        <v>0</v>
      </c>
    </row>
    <row r="83" ht="15" customHeight="1">
      <c r="B83" s="19" t="s">
        <v>82</v>
      </c>
      <c r="C83" s="20">
        <f t="shared" si="18"/>
        <v>71480</v>
      </c>
      <c r="D83" s="20">
        <f t="shared" si="18"/>
        <v>71482</v>
      </c>
      <c r="E83" s="20">
        <f t="shared" si="18"/>
        <v>71234</v>
      </c>
      <c r="F83" s="20">
        <f t="shared" si="18"/>
        <v>71236</v>
      </c>
      <c r="G83" s="20">
        <f t="shared" si="18"/>
        <v>71238</v>
      </c>
      <c r="H83" s="20">
        <f t="shared" si="18"/>
        <v>70990</v>
      </c>
      <c r="I83" s="20">
        <f t="shared" si="18"/>
        <v>70992</v>
      </c>
      <c r="J83" s="20">
        <f t="shared" si="18"/>
        <v>70994</v>
      </c>
      <c r="K83" s="20">
        <f t="shared" si="18"/>
        <v>70746</v>
      </c>
      <c r="L83" s="20">
        <f t="shared" si="18"/>
        <v>70748</v>
      </c>
      <c r="M83" s="20">
        <f t="shared" si="18"/>
        <v>70750</v>
      </c>
      <c r="N83" s="20">
        <f t="shared" si="18"/>
        <v>70502</v>
      </c>
      <c r="O83" s="20">
        <f t="shared" si="18"/>
        <v>70504</v>
      </c>
      <c r="P83" s="20">
        <f t="shared" si="18"/>
        <v>70506</v>
      </c>
      <c r="Q83" s="20">
        <f t="shared" si="18"/>
        <v>70258</v>
      </c>
      <c r="R83" s="20">
        <f t="shared" si="18"/>
        <v>70260</v>
      </c>
      <c r="S83" s="20">
        <f t="shared" si="18"/>
        <v>70262</v>
      </c>
      <c r="T83" s="20">
        <f t="shared" si="18"/>
        <v>70014</v>
      </c>
      <c r="U83" s="20">
        <f t="shared" si="18"/>
        <v>70016</v>
      </c>
      <c r="V83" s="20">
        <f t="shared" si="18"/>
        <v>79518</v>
      </c>
      <c r="W83" s="20">
        <f t="shared" si="18"/>
        <v>79270</v>
      </c>
      <c r="X83" s="20">
        <f t="shared" si="18"/>
        <v>79272</v>
      </c>
      <c r="Y83" s="20">
        <f t="shared" si="18"/>
        <v>77774</v>
      </c>
      <c r="Z83" s="20">
        <f t="shared" si="18"/>
        <v>77526</v>
      </c>
      <c r="AA83" s="20">
        <f t="shared" si="18"/>
        <v>77528</v>
      </c>
      <c r="AB83" s="20">
        <f t="shared" si="18"/>
        <v>77530</v>
      </c>
      <c r="AC83" s="20">
        <f t="shared" si="18"/>
        <v>77282</v>
      </c>
      <c r="AD83" s="20">
        <f t="shared" si="18"/>
        <v>77284</v>
      </c>
      <c r="AE83" s="20">
        <f t="shared" si="18"/>
        <v>77286</v>
      </c>
      <c r="AF83" s="20">
        <f t="shared" si="18"/>
        <v>77038</v>
      </c>
      <c r="AG83" s="20">
        <f t="shared" si="18"/>
        <v>77040</v>
      </c>
      <c r="AH83" s="20">
        <f t="shared" si="18"/>
        <v>78542</v>
      </c>
      <c r="AI83" s="20">
        <f t="shared" si="18"/>
        <v>78294</v>
      </c>
      <c r="AJ83" s="20">
        <f t="shared" si="18"/>
        <v>76796</v>
      </c>
      <c r="AK83" s="20">
        <f t="shared" si="18"/>
        <v>76798</v>
      </c>
      <c r="AL83" s="20">
        <f t="shared" si="18"/>
        <v>76550</v>
      </c>
      <c r="AM83" s="20">
        <f t="shared" si="18"/>
        <v>76552</v>
      </c>
      <c r="AN83" s="20">
        <f t="shared" si="18"/>
        <v>76554</v>
      </c>
      <c r="AO83" s="20">
        <f t="shared" si="18"/>
        <v>76306</v>
      </c>
      <c r="AP83" s="20">
        <f t="shared" si="18"/>
        <v>76308</v>
      </c>
      <c r="AQ83" s="20">
        <f t="shared" si="18"/>
        <v>76310</v>
      </c>
      <c r="AR83" s="20">
        <f t="shared" si="18"/>
        <v>76062</v>
      </c>
      <c r="AS83" s="20">
        <f t="shared" si="18"/>
        <v>76064</v>
      </c>
      <c r="AT83" s="20">
        <f t="shared" si="18"/>
        <v>76066</v>
      </c>
      <c r="AU83" s="20">
        <f t="shared" si="18"/>
        <v>75818</v>
      </c>
      <c r="AV83" s="20">
        <f t="shared" si="18"/>
        <v>75820</v>
      </c>
      <c r="AW83" s="20">
        <f t="shared" si="18"/>
        <v>75822</v>
      </c>
      <c r="AX83" s="20">
        <f t="shared" si="18"/>
        <v>75574</v>
      </c>
      <c r="AY83" s="21"/>
      <c r="AZ83" s="22">
        <f t="shared" si="18"/>
        <v>76550</v>
      </c>
      <c r="BA83" s="22">
        <f t="shared" si="18"/>
        <v>75574</v>
      </c>
      <c r="BB83" s="22">
        <f t="shared" si="18"/>
        <v>75574</v>
      </c>
    </row>
    <row r="84" ht="15" customHeight="1">
      <c r="B84" s="1" t="s">
        <v>83</v>
      </c>
      <c r="C84" s="27" cm="1">
        <f t="array" ref="C84">C62</f>
        <v>12386</v>
      </c>
      <c r="D84" s="27" cm="1">
        <f t="array" ref="D84">D62</f>
        <v>12555.4</v>
      </c>
      <c r="E84" s="27" cm="1">
        <f t="array" ref="E84">E62</f>
        <v>10564</v>
      </c>
      <c r="F84" s="27" cm="1">
        <f t="array" ref="F84">F62</f>
        <v>11372.8</v>
      </c>
      <c r="G84" s="27" cm="1">
        <f t="array" ref="G84">G62</f>
        <v>11935.6</v>
      </c>
      <c r="H84" s="27" cm="1">
        <f t="array" ref="H84">H62</f>
        <v>10267.1</v>
      </c>
      <c r="I84" s="27" cm="1">
        <f t="array" ref="I84">I62</f>
        <v>10362.1</v>
      </c>
      <c r="J84" s="27" cm="1">
        <f t="array" ref="J84">J62</f>
        <v>10769.1</v>
      </c>
      <c r="K84" s="27" cm="1">
        <f t="array" ref="K84">K62</f>
        <v>9351.8</v>
      </c>
      <c r="L84" s="27" cm="1">
        <f t="array" ref="L84">L62</f>
        <v>10304.1</v>
      </c>
      <c r="M84" s="27" cm="1">
        <f t="array" ref="M84">M62</f>
        <v>11487.1</v>
      </c>
      <c r="N84" s="27" cm="1">
        <f t="array" ref="N84">N62</f>
        <v>10168</v>
      </c>
      <c r="O84" s="27" cm="1">
        <f t="array" ref="O84">O62</f>
        <v>10893.3</v>
      </c>
      <c r="P84" s="27" cm="1">
        <f t="array" ref="P84">P62</f>
        <v>11841.9</v>
      </c>
      <c r="Q84" s="27" cm="1">
        <f t="array" ref="Q84">Q62</f>
        <v>10287.6</v>
      </c>
      <c r="R84" s="27" cm="1">
        <f t="array" ref="R84">R62</f>
        <v>11059.2</v>
      </c>
      <c r="S84" s="27" cm="1">
        <f t="array" ref="S84">S62</f>
        <v>11614.6</v>
      </c>
      <c r="T84" s="27" cm="1">
        <f t="array" ref="T84">T62</f>
        <v>10157.1</v>
      </c>
      <c r="U84" s="27" cm="1">
        <f t="array" ref="U84">U62</f>
        <v>10775.3</v>
      </c>
      <c r="V84" s="27" cm="1">
        <f t="array" ref="V84">V62</f>
        <v>12647.8</v>
      </c>
      <c r="W84" s="27" cm="1">
        <f t="array" ref="W84">W62</f>
        <v>11826</v>
      </c>
      <c r="X84" s="27" cm="1">
        <f t="array" ref="X84">X62</f>
        <v>12296.3</v>
      </c>
      <c r="Y84" s="27" cm="1">
        <f t="array" ref="Y84">Y62</f>
        <v>13407.9</v>
      </c>
      <c r="Z84" s="27" cm="1">
        <f t="array" ref="Z84">Z62</f>
        <v>12323.8</v>
      </c>
      <c r="AA84" s="27" cm="1">
        <f t="array" ref="AA84">AA62</f>
        <v>13963.2</v>
      </c>
      <c r="AB84" s="27" cm="1">
        <f t="array" ref="AB84">AB62</f>
        <v>14700.5</v>
      </c>
      <c r="AC84" s="27" cm="1">
        <f t="array" ref="AC84">AC62</f>
        <v>12692.5</v>
      </c>
      <c r="AD84" s="27" cm="1">
        <f t="array" ref="AD84">AD62</f>
        <v>13233.1</v>
      </c>
      <c r="AE84" s="27" cm="1">
        <f t="array" ref="AE84">AE62</f>
        <v>14757.8</v>
      </c>
      <c r="AF84" s="27" cm="1">
        <f t="array" ref="AF84">AF62</f>
        <v>13021.9</v>
      </c>
      <c r="AG84" s="27" cm="1">
        <f t="array" ref="AG84">AG62</f>
        <v>14293.6</v>
      </c>
      <c r="AH84" s="27" cm="1">
        <f t="array" ref="AH84">AH62</f>
        <v>13022.4</v>
      </c>
      <c r="AI84" s="27" cm="1">
        <f t="array" ref="AI84">AI62</f>
        <v>11564.8</v>
      </c>
      <c r="AJ84" s="27" cm="1">
        <f t="array" ref="AJ84">AJ62</f>
        <v>13360.1</v>
      </c>
      <c r="AK84" s="27" cm="1">
        <f t="array" ref="AK84">AK62</f>
        <v>14545.8</v>
      </c>
      <c r="AL84" s="27" cm="1">
        <f t="array" ref="AL84">AL62</f>
        <v>13665.7</v>
      </c>
      <c r="AM84" s="27" cm="1">
        <f t="array" ref="AM84">AM62</f>
        <v>14853.8</v>
      </c>
      <c r="AN84" s="27" cm="1">
        <f t="array" ref="AN84">AN62</f>
        <v>16411.3</v>
      </c>
      <c r="AO84" s="27" cm="1">
        <f t="array" ref="AO84">AO62</f>
        <v>15344.4</v>
      </c>
      <c r="AP84" s="27" cm="1">
        <f t="array" ref="AP84">AP62</f>
        <v>16332</v>
      </c>
      <c r="AQ84" s="27" cm="1">
        <f t="array" ref="AQ84">AQ62</f>
        <v>18213.8</v>
      </c>
      <c r="AR84" s="27" cm="1">
        <f t="array" ref="AR84">AR62</f>
        <v>16456.7</v>
      </c>
      <c r="AS84" s="27" cm="1">
        <f t="array" ref="AS84">AS62</f>
        <v>17267.4</v>
      </c>
      <c r="AT84" s="27" cm="1">
        <f t="array" ref="AT84">AT62</f>
        <v>18071.5</v>
      </c>
      <c r="AU84" s="27" cm="1">
        <f t="array" ref="AU84">AU62</f>
        <v>16525.5</v>
      </c>
      <c r="AV84" s="27" cm="1">
        <f t="array" ref="AV84">AV62</f>
        <v>18019.2</v>
      </c>
      <c r="AW84" s="27" cm="1">
        <f t="array" ref="AW84">AW62</f>
        <v>19363.7</v>
      </c>
      <c r="AX84" s="27" cm="1">
        <f t="array" ref="AX84">AX62</f>
        <v>17534</v>
      </c>
      <c r="AY84" s="16"/>
      <c r="AZ84" s="17" cm="1">
        <f t="array" ref="AZ84">AZ62</f>
        <v>15887.7</v>
      </c>
      <c r="BA84" s="17" cm="1">
        <f t="array" ref="BA84">BA62</f>
        <v>23232</v>
      </c>
      <c r="BB84" s="17" cm="1">
        <f t="array" ref="BB84">BB62</f>
        <v>27332.398</v>
      </c>
    </row>
    <row r="85" ht="15" customHeight="1">
      <c r="B85" s="19" t="s">
        <v>84</v>
      </c>
      <c r="C85" s="20">
        <f t="shared" si="23" ref="C85:BB85">C83-C84</f>
        <v>59094</v>
      </c>
      <c r="D85" s="20">
        <f t="shared" si="23"/>
        <v>58926.6</v>
      </c>
      <c r="E85" s="20">
        <f t="shared" si="23"/>
        <v>60670</v>
      </c>
      <c r="F85" s="20">
        <f t="shared" si="23"/>
        <v>59863.2</v>
      </c>
      <c r="G85" s="20">
        <f t="shared" si="23"/>
        <v>59302.4</v>
      </c>
      <c r="H85" s="20">
        <f t="shared" si="23"/>
        <v>60722.9</v>
      </c>
      <c r="I85" s="20">
        <f t="shared" si="23"/>
        <v>60629.9</v>
      </c>
      <c r="J85" s="20">
        <f t="shared" si="23"/>
        <v>60224.9</v>
      </c>
      <c r="K85" s="20">
        <f t="shared" si="23"/>
        <v>61394.2</v>
      </c>
      <c r="L85" s="20">
        <f t="shared" si="23"/>
        <v>60443.9</v>
      </c>
      <c r="M85" s="20">
        <f t="shared" si="23"/>
        <v>59262.9</v>
      </c>
      <c r="N85" s="20">
        <f t="shared" si="23"/>
        <v>60334</v>
      </c>
      <c r="O85" s="20">
        <f t="shared" si="23"/>
        <v>59610.7</v>
      </c>
      <c r="P85" s="20">
        <f t="shared" si="23"/>
        <v>58664.1</v>
      </c>
      <c r="Q85" s="20">
        <f t="shared" si="23"/>
        <v>59970.4</v>
      </c>
      <c r="R85" s="20">
        <f t="shared" si="23"/>
        <v>59200.8</v>
      </c>
      <c r="S85" s="20">
        <f t="shared" si="23"/>
        <v>58647.4</v>
      </c>
      <c r="T85" s="20">
        <f t="shared" si="23"/>
        <v>59856.9</v>
      </c>
      <c r="U85" s="20">
        <f t="shared" si="23"/>
        <v>59240.7</v>
      </c>
      <c r="V85" s="20">
        <f t="shared" si="23"/>
        <v>66870.2</v>
      </c>
      <c r="W85" s="20">
        <f t="shared" si="23"/>
        <v>67444</v>
      </c>
      <c r="X85" s="20">
        <f t="shared" si="23"/>
        <v>66975.7</v>
      </c>
      <c r="Y85" s="20">
        <f t="shared" si="23"/>
        <v>64366.1</v>
      </c>
      <c r="Z85" s="20">
        <f t="shared" si="23"/>
        <v>65202.2</v>
      </c>
      <c r="AA85" s="20">
        <f t="shared" si="23"/>
        <v>63564.8</v>
      </c>
      <c r="AB85" s="20">
        <f t="shared" si="23"/>
        <v>62829.5</v>
      </c>
      <c r="AC85" s="20">
        <f t="shared" si="23"/>
        <v>64589.5</v>
      </c>
      <c r="AD85" s="20">
        <f t="shared" si="23"/>
        <v>64050.9</v>
      </c>
      <c r="AE85" s="20">
        <f t="shared" si="23"/>
        <v>62528.2</v>
      </c>
      <c r="AF85" s="20">
        <f t="shared" si="23"/>
        <v>64016.1</v>
      </c>
      <c r="AG85" s="20">
        <f t="shared" si="23"/>
        <v>62746.4</v>
      </c>
      <c r="AH85" s="20">
        <f t="shared" si="23"/>
        <v>65519.6</v>
      </c>
      <c r="AI85" s="20">
        <f t="shared" si="23"/>
        <v>66729.2</v>
      </c>
      <c r="AJ85" s="20">
        <f t="shared" si="23"/>
        <v>63435.9</v>
      </c>
      <c r="AK85" s="20">
        <f t="shared" si="23"/>
        <v>62252.2</v>
      </c>
      <c r="AL85" s="20">
        <f t="shared" si="23"/>
        <v>62884.3</v>
      </c>
      <c r="AM85" s="20">
        <f t="shared" si="23"/>
        <v>61698.2</v>
      </c>
      <c r="AN85" s="20">
        <f t="shared" si="23"/>
        <v>60142.7</v>
      </c>
      <c r="AO85" s="20">
        <f t="shared" si="23"/>
        <v>60961.6</v>
      </c>
      <c r="AP85" s="20">
        <f t="shared" si="23"/>
        <v>59976</v>
      </c>
      <c r="AQ85" s="20">
        <f t="shared" si="23"/>
        <v>58096.2</v>
      </c>
      <c r="AR85" s="20">
        <f t="shared" si="23"/>
        <v>59605.3</v>
      </c>
      <c r="AS85" s="20">
        <f t="shared" si="23"/>
        <v>58796.6</v>
      </c>
      <c r="AT85" s="20">
        <f t="shared" si="23"/>
        <v>57994.5</v>
      </c>
      <c r="AU85" s="20">
        <f t="shared" si="23"/>
        <v>59292.5</v>
      </c>
      <c r="AV85" s="20">
        <f t="shared" si="23"/>
        <v>57800.8</v>
      </c>
      <c r="AW85" s="20">
        <f t="shared" si="23"/>
        <v>56458.3</v>
      </c>
      <c r="AX85" s="20">
        <f t="shared" si="23"/>
        <v>58040</v>
      </c>
      <c r="AY85" s="21"/>
      <c r="AZ85" s="22">
        <f t="shared" si="23"/>
        <v>60662.3</v>
      </c>
      <c r="BA85" s="22">
        <f t="shared" si="23"/>
        <v>52342</v>
      </c>
      <c r="BB85" s="22">
        <f t="shared" si="23"/>
        <v>48241.602</v>
      </c>
    </row>
    <row r="86" ht="15" customHeight="1">
      <c r="B86" s="18" t="s">
        <v>85</v>
      </c>
      <c r="C86" s="15">
        <v>1250</v>
      </c>
      <c r="D86" s="15">
        <v>1248</v>
      </c>
      <c r="E86" s="15">
        <v>1246</v>
      </c>
      <c r="F86" s="15">
        <v>1244</v>
      </c>
      <c r="G86" s="15">
        <v>1242</v>
      </c>
      <c r="H86" s="15">
        <v>1240</v>
      </c>
      <c r="I86" s="15">
        <v>1238</v>
      </c>
      <c r="J86" s="15">
        <v>1236</v>
      </c>
      <c r="K86" s="15">
        <v>1234</v>
      </c>
      <c r="L86" s="15">
        <v>1232</v>
      </c>
      <c r="M86" s="15">
        <v>1230</v>
      </c>
      <c r="N86" s="15">
        <v>1228</v>
      </c>
      <c r="O86" s="15">
        <v>1226</v>
      </c>
      <c r="P86" s="15">
        <v>1224</v>
      </c>
      <c r="Q86" s="15">
        <v>1222</v>
      </c>
      <c r="R86" s="15">
        <v>1220</v>
      </c>
      <c r="S86" s="15">
        <v>1218</v>
      </c>
      <c r="T86" s="15">
        <v>1216</v>
      </c>
      <c r="U86" s="15">
        <v>1214</v>
      </c>
      <c r="V86" s="15">
        <v>1212</v>
      </c>
      <c r="W86" s="15">
        <v>1210</v>
      </c>
      <c r="X86" s="15">
        <v>1208</v>
      </c>
      <c r="Y86" s="15">
        <v>1206</v>
      </c>
      <c r="Z86" s="15">
        <v>1204</v>
      </c>
      <c r="AA86" s="15">
        <v>1202</v>
      </c>
      <c r="AB86" s="15">
        <v>1200</v>
      </c>
      <c r="AC86" s="15">
        <v>1198</v>
      </c>
      <c r="AD86" s="15">
        <v>1196</v>
      </c>
      <c r="AE86" s="15">
        <v>1194</v>
      </c>
      <c r="AF86" s="15">
        <v>1192</v>
      </c>
      <c r="AG86" s="15">
        <v>1190</v>
      </c>
      <c r="AH86" s="15">
        <v>1188</v>
      </c>
      <c r="AI86" s="15">
        <v>1186</v>
      </c>
      <c r="AJ86" s="15">
        <v>1184</v>
      </c>
      <c r="AK86" s="15">
        <v>1182</v>
      </c>
      <c r="AL86" s="15">
        <v>1180</v>
      </c>
      <c r="AM86" s="15">
        <v>1178</v>
      </c>
      <c r="AN86" s="15">
        <v>1176</v>
      </c>
      <c r="AO86" s="15">
        <v>1174</v>
      </c>
      <c r="AP86" s="15">
        <v>1172</v>
      </c>
      <c r="AQ86" s="15">
        <v>1170</v>
      </c>
      <c r="AR86" s="15">
        <v>1168</v>
      </c>
      <c r="AS86" s="15">
        <v>1166</v>
      </c>
      <c r="AT86" s="15">
        <v>1164</v>
      </c>
      <c r="AU86" s="15">
        <v>1162</v>
      </c>
      <c r="AV86" s="15">
        <v>1160</v>
      </c>
      <c r="AW86" s="15">
        <v>1158</v>
      </c>
      <c r="AX86" s="15">
        <v>1156</v>
      </c>
      <c r="AY86" s="16"/>
      <c r="AZ86" s="17" cm="1">
        <f t="array" ref="AZ86">AL86</f>
        <v>1180</v>
      </c>
      <c r="BA86" s="17" cm="1">
        <f t="array" ref="BA86">AX86</f>
        <v>1156</v>
      </c>
      <c r="BB86" s="17" cm="1">
        <f t="array" ref="BB86">BA86</f>
        <v>1156</v>
      </c>
    </row>
    <row r="87" ht="15" customHeight="1">
      <c r="B87" s="18" t="s">
        <v>86</v>
      </c>
      <c r="C87" s="15">
        <v>9200</v>
      </c>
      <c r="D87" s="15">
        <v>9155</v>
      </c>
      <c r="E87" s="15">
        <v>9110</v>
      </c>
      <c r="F87" s="15">
        <v>9065</v>
      </c>
      <c r="G87" s="15">
        <v>9020</v>
      </c>
      <c r="H87" s="15">
        <v>8975</v>
      </c>
      <c r="I87" s="15">
        <v>8930</v>
      </c>
      <c r="J87" s="15">
        <v>8885</v>
      </c>
      <c r="K87" s="15">
        <v>8840</v>
      </c>
      <c r="L87" s="15">
        <v>8795</v>
      </c>
      <c r="M87" s="15">
        <v>8750</v>
      </c>
      <c r="N87" s="15">
        <v>8705</v>
      </c>
      <c r="O87" s="15">
        <v>8660</v>
      </c>
      <c r="P87" s="15">
        <v>8615</v>
      </c>
      <c r="Q87" s="15">
        <v>8570</v>
      </c>
      <c r="R87" s="15">
        <v>8525</v>
      </c>
      <c r="S87" s="15">
        <v>8480</v>
      </c>
      <c r="T87" s="15">
        <v>8435</v>
      </c>
      <c r="U87" s="15">
        <v>8390</v>
      </c>
      <c r="V87" s="15">
        <v>8345</v>
      </c>
      <c r="W87" s="15">
        <v>8300</v>
      </c>
      <c r="X87" s="15">
        <v>8255</v>
      </c>
      <c r="Y87" s="15">
        <v>8210</v>
      </c>
      <c r="Z87" s="15">
        <v>8165</v>
      </c>
      <c r="AA87" s="15">
        <v>8120</v>
      </c>
      <c r="AB87" s="15">
        <v>8075</v>
      </c>
      <c r="AC87" s="15">
        <v>8030</v>
      </c>
      <c r="AD87" s="15">
        <v>7985</v>
      </c>
      <c r="AE87" s="15">
        <v>7940</v>
      </c>
      <c r="AF87" s="15">
        <v>7895</v>
      </c>
      <c r="AG87" s="15">
        <v>7850</v>
      </c>
      <c r="AH87" s="15">
        <v>7805</v>
      </c>
      <c r="AI87" s="15">
        <v>7760</v>
      </c>
      <c r="AJ87" s="15">
        <v>7715</v>
      </c>
      <c r="AK87" s="15">
        <v>7670</v>
      </c>
      <c r="AL87" s="15">
        <v>7625</v>
      </c>
      <c r="AM87" s="15">
        <v>7580</v>
      </c>
      <c r="AN87" s="15">
        <v>7535</v>
      </c>
      <c r="AO87" s="15">
        <v>7490</v>
      </c>
      <c r="AP87" s="15">
        <v>7445</v>
      </c>
      <c r="AQ87" s="15">
        <v>7400</v>
      </c>
      <c r="AR87" s="15">
        <v>7355</v>
      </c>
      <c r="AS87" s="15">
        <v>7310</v>
      </c>
      <c r="AT87" s="15">
        <v>7265</v>
      </c>
      <c r="AU87" s="15">
        <v>7220</v>
      </c>
      <c r="AV87" s="15">
        <v>7175</v>
      </c>
      <c r="AW87" s="15">
        <v>7130</v>
      </c>
      <c r="AX87" s="15">
        <v>7085</v>
      </c>
      <c r="AY87" s="16"/>
      <c r="AZ87" s="17" cm="1">
        <f t="array" ref="AZ87">AL87</f>
        <v>7625</v>
      </c>
      <c r="BA87" s="17" cm="1">
        <f t="array" ref="BA87">AX87</f>
        <v>7085</v>
      </c>
      <c r="BB87" s="17" cm="1">
        <f t="array" ref="BB87">BA87</f>
        <v>7085</v>
      </c>
    </row>
    <row r="88" ht="15" customHeight="1">
      <c r="B88" s="18" t="s">
        <v>87</v>
      </c>
      <c r="C88" s="15">
        <v>2600</v>
      </c>
      <c r="D88" s="15">
        <v>2594</v>
      </c>
      <c r="E88" s="15">
        <v>2588</v>
      </c>
      <c r="F88" s="15">
        <v>2582</v>
      </c>
      <c r="G88" s="15">
        <v>2576</v>
      </c>
      <c r="H88" s="15">
        <v>2570</v>
      </c>
      <c r="I88" s="15">
        <v>2564</v>
      </c>
      <c r="J88" s="15">
        <v>2558</v>
      </c>
      <c r="K88" s="15">
        <v>2552</v>
      </c>
      <c r="L88" s="15">
        <v>2546</v>
      </c>
      <c r="M88" s="15">
        <v>2540</v>
      </c>
      <c r="N88" s="15">
        <v>2534</v>
      </c>
      <c r="O88" s="15">
        <v>2528</v>
      </c>
      <c r="P88" s="15">
        <v>2522</v>
      </c>
      <c r="Q88" s="15">
        <v>2516</v>
      </c>
      <c r="R88" s="15">
        <v>2510</v>
      </c>
      <c r="S88" s="15">
        <v>2504</v>
      </c>
      <c r="T88" s="15">
        <v>2498</v>
      </c>
      <c r="U88" s="15">
        <v>2492</v>
      </c>
      <c r="V88" s="15">
        <v>2486</v>
      </c>
      <c r="W88" s="15">
        <v>2480</v>
      </c>
      <c r="X88" s="15">
        <v>2474</v>
      </c>
      <c r="Y88" s="15">
        <v>2468</v>
      </c>
      <c r="Z88" s="15">
        <v>2462</v>
      </c>
      <c r="AA88" s="15">
        <v>2456</v>
      </c>
      <c r="AB88" s="15">
        <v>2450</v>
      </c>
      <c r="AC88" s="15">
        <v>2444</v>
      </c>
      <c r="AD88" s="15">
        <v>2438</v>
      </c>
      <c r="AE88" s="15">
        <v>2432</v>
      </c>
      <c r="AF88" s="15">
        <v>2426</v>
      </c>
      <c r="AG88" s="15">
        <v>2420</v>
      </c>
      <c r="AH88" s="15">
        <v>2414</v>
      </c>
      <c r="AI88" s="15">
        <v>2408</v>
      </c>
      <c r="AJ88" s="15">
        <v>2402</v>
      </c>
      <c r="AK88" s="15">
        <v>2396</v>
      </c>
      <c r="AL88" s="15">
        <v>2390</v>
      </c>
      <c r="AM88" s="15">
        <v>2384</v>
      </c>
      <c r="AN88" s="15">
        <v>2378</v>
      </c>
      <c r="AO88" s="15">
        <v>2372</v>
      </c>
      <c r="AP88" s="15">
        <v>2366</v>
      </c>
      <c r="AQ88" s="15">
        <v>2360</v>
      </c>
      <c r="AR88" s="15">
        <v>2354</v>
      </c>
      <c r="AS88" s="15">
        <v>2348</v>
      </c>
      <c r="AT88" s="15">
        <v>2342</v>
      </c>
      <c r="AU88" s="15">
        <v>2336</v>
      </c>
      <c r="AV88" s="15">
        <v>2330</v>
      </c>
      <c r="AW88" s="15">
        <v>2324</v>
      </c>
      <c r="AX88" s="15">
        <v>2318</v>
      </c>
      <c r="AY88" s="16"/>
      <c r="AZ88" s="17" cm="1">
        <f t="array" ref="AZ88">AL88</f>
        <v>2390</v>
      </c>
      <c r="BA88" s="17" cm="1">
        <f t="array" ref="BA88">AX88</f>
        <v>2318</v>
      </c>
      <c r="BB88" s="17" cm="1">
        <f t="array" ref="BB88">BA88</f>
        <v>2318</v>
      </c>
    </row>
    <row r="89" ht="15" customHeight="1">
      <c r="B89" s="18" t="s">
        <v>88</v>
      </c>
      <c r="C89" s="15">
        <v>794.3</v>
      </c>
      <c r="D89" s="15">
        <v>807.2</v>
      </c>
      <c r="E89" s="15">
        <v>850.9</v>
      </c>
      <c r="F89" s="15">
        <v>795.9</v>
      </c>
      <c r="G89" s="15">
        <v>800.9</v>
      </c>
      <c r="H89" s="15">
        <v>810.5</v>
      </c>
      <c r="I89" s="15">
        <v>762.2</v>
      </c>
      <c r="J89" s="15">
        <v>801.4</v>
      </c>
      <c r="K89" s="15">
        <v>815.6</v>
      </c>
      <c r="L89" s="15">
        <v>835.2</v>
      </c>
      <c r="M89" s="15">
        <v>751.3</v>
      </c>
      <c r="N89" s="15">
        <v>776.4</v>
      </c>
      <c r="O89" s="15">
        <v>750.9</v>
      </c>
      <c r="P89" s="15">
        <v>837.2</v>
      </c>
      <c r="Q89" s="15">
        <v>823.2</v>
      </c>
      <c r="R89" s="15">
        <v>745</v>
      </c>
      <c r="S89" s="15">
        <v>857.9</v>
      </c>
      <c r="T89" s="15">
        <v>855.8</v>
      </c>
      <c r="U89" s="15">
        <v>818.5</v>
      </c>
      <c r="V89" s="15">
        <v>813.9</v>
      </c>
      <c r="W89" s="15">
        <v>758.9</v>
      </c>
      <c r="X89" s="15">
        <v>741.8</v>
      </c>
      <c r="Y89" s="15">
        <v>803.4</v>
      </c>
      <c r="Z89" s="15">
        <v>747.1</v>
      </c>
      <c r="AA89" s="15">
        <v>762.8</v>
      </c>
      <c r="AB89" s="15">
        <v>769</v>
      </c>
      <c r="AC89" s="15">
        <v>743.6</v>
      </c>
      <c r="AD89" s="15">
        <v>795.7</v>
      </c>
      <c r="AE89" s="15">
        <v>792.9</v>
      </c>
      <c r="AF89" s="15">
        <v>841.1</v>
      </c>
      <c r="AG89" s="15">
        <v>802.3</v>
      </c>
      <c r="AH89" s="15">
        <v>816.8</v>
      </c>
      <c r="AI89" s="15">
        <v>800</v>
      </c>
      <c r="AJ89" s="15">
        <v>819.5</v>
      </c>
      <c r="AK89" s="15">
        <v>794.9</v>
      </c>
      <c r="AL89" s="15">
        <v>773.4</v>
      </c>
      <c r="AM89" s="15">
        <v>859.7</v>
      </c>
      <c r="AN89" s="15">
        <v>859.5</v>
      </c>
      <c r="AO89" s="15">
        <v>840.8</v>
      </c>
      <c r="AP89" s="15">
        <v>824.9</v>
      </c>
      <c r="AQ89" s="15">
        <v>777.8</v>
      </c>
      <c r="AR89" s="15">
        <v>767.6</v>
      </c>
      <c r="AS89" s="15">
        <v>774.7</v>
      </c>
      <c r="AT89" s="15">
        <v>748.4</v>
      </c>
      <c r="AU89" s="15">
        <v>832</v>
      </c>
      <c r="AV89" s="15">
        <v>788</v>
      </c>
      <c r="AW89" s="15">
        <v>841.6</v>
      </c>
      <c r="AX89" s="15">
        <v>786.4</v>
      </c>
      <c r="AY89" s="16"/>
      <c r="AZ89" s="17" cm="1">
        <f t="array" ref="AZ89">AL89</f>
        <v>773.4</v>
      </c>
      <c r="BA89" s="17" cm="1">
        <f t="array" ref="BA89">AX89</f>
        <v>786.4</v>
      </c>
      <c r="BB89" s="17" cm="1">
        <f t="array" ref="BB89">BA89</f>
        <v>786.4</v>
      </c>
    </row>
    <row r="90" ht="15" customHeight="1">
      <c r="B90" s="19" t="s">
        <v>89</v>
      </c>
      <c r="C90" s="20">
        <f t="shared" si="7"/>
        <v>13844.3</v>
      </c>
      <c r="D90" s="20">
        <f t="shared" si="7"/>
        <v>13804.2</v>
      </c>
      <c r="E90" s="20">
        <f t="shared" si="7"/>
        <v>13794.9</v>
      </c>
      <c r="F90" s="20">
        <f t="shared" si="7"/>
        <v>13686.9</v>
      </c>
      <c r="G90" s="20">
        <f t="shared" si="7"/>
        <v>13638.9</v>
      </c>
      <c r="H90" s="20">
        <f t="shared" si="7"/>
        <v>13595.5</v>
      </c>
      <c r="I90" s="20">
        <f t="shared" si="7"/>
        <v>13494.2</v>
      </c>
      <c r="J90" s="20">
        <f t="shared" si="7"/>
        <v>13480.4</v>
      </c>
      <c r="K90" s="20">
        <f t="shared" si="7"/>
        <v>13441.6</v>
      </c>
      <c r="L90" s="20">
        <f t="shared" si="7"/>
        <v>13408.2</v>
      </c>
      <c r="M90" s="20">
        <f t="shared" si="7"/>
        <v>13271.3</v>
      </c>
      <c r="N90" s="20">
        <f t="shared" si="7"/>
        <v>13243.4</v>
      </c>
      <c r="O90" s="20">
        <f t="shared" si="7"/>
        <v>13164.9</v>
      </c>
      <c r="P90" s="20">
        <f t="shared" si="7"/>
        <v>13198.2</v>
      </c>
      <c r="Q90" s="20">
        <f t="shared" si="7"/>
        <v>13131.2</v>
      </c>
      <c r="R90" s="20">
        <f t="shared" si="7"/>
        <v>13000</v>
      </c>
      <c r="S90" s="20">
        <f t="shared" si="7"/>
        <v>13059.9</v>
      </c>
      <c r="T90" s="20">
        <f t="shared" si="7"/>
        <v>13004.8</v>
      </c>
      <c r="U90" s="20">
        <f t="shared" si="7"/>
        <v>12914.5</v>
      </c>
      <c r="V90" s="20">
        <f t="shared" si="7"/>
        <v>12856.9</v>
      </c>
      <c r="W90" s="20">
        <f t="shared" si="7"/>
        <v>12748.9</v>
      </c>
      <c r="X90" s="20">
        <f t="shared" si="7"/>
        <v>12678.8</v>
      </c>
      <c r="Y90" s="20">
        <f t="shared" si="7"/>
        <v>12687.4</v>
      </c>
      <c r="Z90" s="20">
        <f t="shared" si="7"/>
        <v>12578.1</v>
      </c>
      <c r="AA90" s="20">
        <f t="shared" si="7"/>
        <v>12540.8</v>
      </c>
      <c r="AB90" s="20">
        <f t="shared" si="7"/>
        <v>12494</v>
      </c>
      <c r="AC90" s="20">
        <f t="shared" si="7"/>
        <v>12415.6</v>
      </c>
      <c r="AD90" s="20">
        <f t="shared" si="7"/>
        <v>12414.7</v>
      </c>
      <c r="AE90" s="20">
        <f t="shared" si="7"/>
        <v>12358.9</v>
      </c>
      <c r="AF90" s="20">
        <f t="shared" si="7"/>
        <v>12354.1</v>
      </c>
      <c r="AG90" s="20">
        <f t="shared" si="7"/>
        <v>12262.3</v>
      </c>
      <c r="AH90" s="20">
        <f t="shared" si="7"/>
        <v>12223.8</v>
      </c>
      <c r="AI90" s="20">
        <f t="shared" si="7"/>
        <v>12154</v>
      </c>
      <c r="AJ90" s="20">
        <f t="shared" si="7"/>
        <v>12120.5</v>
      </c>
      <c r="AK90" s="20">
        <f t="shared" si="7"/>
        <v>12042.9</v>
      </c>
      <c r="AL90" s="20">
        <f t="shared" si="7"/>
        <v>11968.4</v>
      </c>
      <c r="AM90" s="20">
        <f t="shared" si="7"/>
        <v>12001.7</v>
      </c>
      <c r="AN90" s="20">
        <f t="shared" si="7"/>
        <v>11948.5</v>
      </c>
      <c r="AO90" s="20">
        <f t="shared" si="7"/>
        <v>11876.8</v>
      </c>
      <c r="AP90" s="20">
        <f t="shared" si="7"/>
        <v>11807.9</v>
      </c>
      <c r="AQ90" s="20">
        <f t="shared" si="7"/>
        <v>11707.8</v>
      </c>
      <c r="AR90" s="20">
        <f t="shared" si="7"/>
        <v>11644.6</v>
      </c>
      <c r="AS90" s="20">
        <f t="shared" si="7"/>
        <v>11598.7</v>
      </c>
      <c r="AT90" s="20">
        <f t="shared" si="7"/>
        <v>11519.4</v>
      </c>
      <c r="AU90" s="20">
        <f t="shared" si="7"/>
        <v>11550</v>
      </c>
      <c r="AV90" s="20">
        <f t="shared" si="7"/>
        <v>11453</v>
      </c>
      <c r="AW90" s="20">
        <f t="shared" si="7"/>
        <v>11453.6</v>
      </c>
      <c r="AX90" s="20">
        <f t="shared" si="7"/>
        <v>11345.4</v>
      </c>
      <c r="AY90" s="21"/>
      <c r="AZ90" s="22">
        <f t="shared" si="7"/>
        <v>11968.4</v>
      </c>
      <c r="BA90" s="22">
        <f t="shared" si="7"/>
        <v>11345.4</v>
      </c>
      <c r="BB90" s="22">
        <f t="shared" si="7"/>
        <v>11345.4</v>
      </c>
    </row>
    <row r="91" ht="15" customHeight="1">
      <c r="B91" s="19" t="s">
        <v>90</v>
      </c>
      <c r="C91" s="20">
        <f t="shared" si="24" ref="C91:BB91">C85+C90</f>
        <v>72938.3</v>
      </c>
      <c r="D91" s="20">
        <f t="shared" si="24"/>
        <v>72730.8</v>
      </c>
      <c r="E91" s="20">
        <f t="shared" si="24"/>
        <v>74464.9</v>
      </c>
      <c r="F91" s="20">
        <f t="shared" si="24"/>
        <v>73550.1</v>
      </c>
      <c r="G91" s="20">
        <f t="shared" si="24"/>
        <v>72941.3</v>
      </c>
      <c r="H91" s="20">
        <f t="shared" si="24"/>
        <v>74318.4</v>
      </c>
      <c r="I91" s="20">
        <f t="shared" si="24"/>
        <v>74124.1</v>
      </c>
      <c r="J91" s="20">
        <f t="shared" si="24"/>
        <v>73705.3</v>
      </c>
      <c r="K91" s="20">
        <f t="shared" si="24"/>
        <v>74835.8</v>
      </c>
      <c r="L91" s="20">
        <f t="shared" si="24"/>
        <v>73852.1</v>
      </c>
      <c r="M91" s="20">
        <f t="shared" si="24"/>
        <v>72534.2</v>
      </c>
      <c r="N91" s="20">
        <f t="shared" si="24"/>
        <v>73577.4</v>
      </c>
      <c r="O91" s="20">
        <f t="shared" si="24"/>
        <v>72775.6</v>
      </c>
      <c r="P91" s="20">
        <f t="shared" si="24"/>
        <v>71862.3</v>
      </c>
      <c r="Q91" s="20">
        <f t="shared" si="24"/>
        <v>73101.6</v>
      </c>
      <c r="R91" s="20">
        <f t="shared" si="24"/>
        <v>72200.8</v>
      </c>
      <c r="S91" s="20">
        <f t="shared" si="24"/>
        <v>71707.3</v>
      </c>
      <c r="T91" s="20">
        <f t="shared" si="24"/>
        <v>72861.7</v>
      </c>
      <c r="U91" s="20">
        <f t="shared" si="24"/>
        <v>72155.2</v>
      </c>
      <c r="V91" s="20">
        <f t="shared" si="24"/>
        <v>79727.1</v>
      </c>
      <c r="W91" s="20">
        <f t="shared" si="24"/>
        <v>80192.9</v>
      </c>
      <c r="X91" s="20">
        <f t="shared" si="24"/>
        <v>79654.5</v>
      </c>
      <c r="Y91" s="20">
        <f t="shared" si="24"/>
        <v>77053.5</v>
      </c>
      <c r="Z91" s="20">
        <f t="shared" si="24"/>
        <v>77780.3</v>
      </c>
      <c r="AA91" s="20">
        <f t="shared" si="24"/>
        <v>76105.6</v>
      </c>
      <c r="AB91" s="20">
        <f t="shared" si="24"/>
        <v>75323.5</v>
      </c>
      <c r="AC91" s="20">
        <f t="shared" si="24"/>
        <v>77005.1</v>
      </c>
      <c r="AD91" s="20">
        <f t="shared" si="24"/>
        <v>76465.6</v>
      </c>
      <c r="AE91" s="20">
        <f t="shared" si="24"/>
        <v>74887.1</v>
      </c>
      <c r="AF91" s="20">
        <f t="shared" si="24"/>
        <v>76370.2</v>
      </c>
      <c r="AG91" s="20">
        <f t="shared" si="24"/>
        <v>75008.7</v>
      </c>
      <c r="AH91" s="20">
        <f t="shared" si="24"/>
        <v>77743.4</v>
      </c>
      <c r="AI91" s="20">
        <f t="shared" si="24"/>
        <v>78883.2</v>
      </c>
      <c r="AJ91" s="20">
        <f t="shared" si="24"/>
        <v>75556.4</v>
      </c>
      <c r="AK91" s="20">
        <f t="shared" si="24"/>
        <v>74295.1</v>
      </c>
      <c r="AL91" s="20">
        <f t="shared" si="24"/>
        <v>74852.7</v>
      </c>
      <c r="AM91" s="20">
        <f t="shared" si="24"/>
        <v>73699.9</v>
      </c>
      <c r="AN91" s="20">
        <f t="shared" si="24"/>
        <v>72091.2</v>
      </c>
      <c r="AO91" s="20">
        <f t="shared" si="24"/>
        <v>72838.4</v>
      </c>
      <c r="AP91" s="20">
        <f t="shared" si="24"/>
        <v>71783.9</v>
      </c>
      <c r="AQ91" s="20">
        <f t="shared" si="24"/>
        <v>69804</v>
      </c>
      <c r="AR91" s="20">
        <f t="shared" si="24"/>
        <v>71249.9</v>
      </c>
      <c r="AS91" s="20">
        <f t="shared" si="24"/>
        <v>70395.3</v>
      </c>
      <c r="AT91" s="20">
        <f t="shared" si="24"/>
        <v>69513.9</v>
      </c>
      <c r="AU91" s="20">
        <f t="shared" si="24"/>
        <v>70842.5</v>
      </c>
      <c r="AV91" s="20">
        <f t="shared" si="24"/>
        <v>69253.8</v>
      </c>
      <c r="AW91" s="20">
        <f t="shared" si="24"/>
        <v>67911.9</v>
      </c>
      <c r="AX91" s="20">
        <f t="shared" si="24"/>
        <v>69385.4</v>
      </c>
      <c r="AY91" s="21"/>
      <c r="AZ91" s="22">
        <f t="shared" si="24"/>
        <v>72630.7</v>
      </c>
      <c r="BA91" s="22">
        <f t="shared" si="24"/>
        <v>63687.4</v>
      </c>
      <c r="BB91" s="22">
        <f t="shared" si="24"/>
        <v>59587.002</v>
      </c>
    </row>
    <row r="92" ht="15" customHeight="1">
      <c r="B92" s="18" t="s">
        <v>91</v>
      </c>
      <c r="C92" s="15">
        <v>1400</v>
      </c>
      <c r="D92" s="15">
        <v>1389</v>
      </c>
      <c r="E92" s="15">
        <v>1378</v>
      </c>
      <c r="F92" s="15">
        <v>1367</v>
      </c>
      <c r="G92" s="15">
        <v>1356</v>
      </c>
      <c r="H92" s="15">
        <v>1345</v>
      </c>
      <c r="I92" s="15">
        <v>1334</v>
      </c>
      <c r="J92" s="15">
        <v>1323</v>
      </c>
      <c r="K92" s="15">
        <v>1312</v>
      </c>
      <c r="L92" s="15">
        <v>1301</v>
      </c>
      <c r="M92" s="15">
        <v>1290</v>
      </c>
      <c r="N92" s="15">
        <v>1279</v>
      </c>
      <c r="O92" s="15">
        <v>1268</v>
      </c>
      <c r="P92" s="15">
        <v>1257</v>
      </c>
      <c r="Q92" s="15">
        <v>1246</v>
      </c>
      <c r="R92" s="15">
        <v>1235</v>
      </c>
      <c r="S92" s="15">
        <v>1224</v>
      </c>
      <c r="T92" s="15">
        <v>1213</v>
      </c>
      <c r="U92" s="15">
        <v>1202</v>
      </c>
      <c r="V92" s="15">
        <v>1191</v>
      </c>
      <c r="W92" s="15">
        <v>1180</v>
      </c>
      <c r="X92" s="15">
        <v>1169</v>
      </c>
      <c r="Y92" s="15">
        <v>1158</v>
      </c>
      <c r="Z92" s="15">
        <v>1147</v>
      </c>
      <c r="AA92" s="15">
        <v>1136</v>
      </c>
      <c r="AB92" s="15">
        <v>1125</v>
      </c>
      <c r="AC92" s="15">
        <v>1114</v>
      </c>
      <c r="AD92" s="15">
        <v>1103</v>
      </c>
      <c r="AE92" s="15">
        <v>1092</v>
      </c>
      <c r="AF92" s="15">
        <v>1081</v>
      </c>
      <c r="AG92" s="15">
        <v>1070</v>
      </c>
      <c r="AH92" s="15">
        <v>1059</v>
      </c>
      <c r="AI92" s="15">
        <v>1048</v>
      </c>
      <c r="AJ92" s="15">
        <v>1037</v>
      </c>
      <c r="AK92" s="15">
        <v>1026</v>
      </c>
      <c r="AL92" s="15">
        <v>1015</v>
      </c>
      <c r="AM92" s="15">
        <v>1004</v>
      </c>
      <c r="AN92" s="15">
        <v>993</v>
      </c>
      <c r="AO92" s="15">
        <v>982</v>
      </c>
      <c r="AP92" s="15">
        <v>971</v>
      </c>
      <c r="AQ92" s="15">
        <v>960</v>
      </c>
      <c r="AR92" s="15">
        <v>949</v>
      </c>
      <c r="AS92" s="15">
        <v>938</v>
      </c>
      <c r="AT92" s="15">
        <v>927</v>
      </c>
      <c r="AU92" s="15">
        <v>916</v>
      </c>
      <c r="AV92" s="15">
        <v>905</v>
      </c>
      <c r="AW92" s="15">
        <v>894</v>
      </c>
      <c r="AX92" s="15">
        <v>883</v>
      </c>
      <c r="AY92" s="16"/>
      <c r="AZ92" s="17" cm="1">
        <f t="array" ref="AZ92">AL92</f>
        <v>1015</v>
      </c>
      <c r="BA92" s="17" cm="1">
        <f t="array" ref="BA92">AX92</f>
        <v>883</v>
      </c>
      <c r="BB92" s="17" cm="1">
        <f t="array" ref="BB92">BA92</f>
        <v>883</v>
      </c>
    </row>
    <row r="93" ht="15" customHeight="1">
      <c r="B93" s="18" t="s">
        <v>92</v>
      </c>
      <c r="C93" s="15">
        <v>6992.1</v>
      </c>
      <c r="D93" s="15">
        <v>6706</v>
      </c>
      <c r="E93" s="15">
        <v>6799.4</v>
      </c>
      <c r="F93" s="15">
        <v>6693.7</v>
      </c>
      <c r="G93" s="15">
        <v>6869.6</v>
      </c>
      <c r="H93" s="15">
        <v>6865.8</v>
      </c>
      <c r="I93" s="15">
        <v>6717.5</v>
      </c>
      <c r="J93" s="15">
        <v>6895.2</v>
      </c>
      <c r="K93" s="15">
        <v>6698.1</v>
      </c>
      <c r="L93" s="15">
        <v>6831.3</v>
      </c>
      <c r="M93" s="15">
        <v>6997</v>
      </c>
      <c r="N93" s="15">
        <v>6923.4</v>
      </c>
      <c r="O93" s="15">
        <v>6640.9</v>
      </c>
      <c r="P93" s="15">
        <v>6936.2</v>
      </c>
      <c r="Q93" s="15">
        <v>6717.5</v>
      </c>
      <c r="R93" s="15">
        <v>6989.2</v>
      </c>
      <c r="S93" s="15">
        <v>6748.9</v>
      </c>
      <c r="T93" s="15">
        <v>6704</v>
      </c>
      <c r="U93" s="15">
        <v>6642.3</v>
      </c>
      <c r="V93" s="15">
        <v>6687.1</v>
      </c>
      <c r="W93" s="15">
        <v>6681.6</v>
      </c>
      <c r="X93" s="15">
        <v>6860.7</v>
      </c>
      <c r="Y93" s="15">
        <v>6730.9</v>
      </c>
      <c r="Z93" s="15">
        <v>6724.9</v>
      </c>
      <c r="AA93" s="15">
        <v>6819.2</v>
      </c>
      <c r="AB93" s="15">
        <v>6758.1</v>
      </c>
      <c r="AC93" s="15">
        <v>6636.5</v>
      </c>
      <c r="AD93" s="15">
        <v>6763.9</v>
      </c>
      <c r="AE93" s="15">
        <v>6981.3</v>
      </c>
      <c r="AF93" s="15">
        <v>6742.9</v>
      </c>
      <c r="AG93" s="15">
        <v>6998.6</v>
      </c>
      <c r="AH93" s="15">
        <v>6891.2</v>
      </c>
      <c r="AI93" s="15">
        <v>6960.7</v>
      </c>
      <c r="AJ93" s="15">
        <v>6762.5</v>
      </c>
      <c r="AK93" s="15">
        <v>6665</v>
      </c>
      <c r="AL93" s="15">
        <v>6856.3</v>
      </c>
      <c r="AM93" s="15">
        <v>6848.9</v>
      </c>
      <c r="AN93" s="15">
        <v>6658.4</v>
      </c>
      <c r="AO93" s="15">
        <v>6970.2</v>
      </c>
      <c r="AP93" s="15">
        <v>6921.9</v>
      </c>
      <c r="AQ93" s="15">
        <v>6650.7</v>
      </c>
      <c r="AR93" s="15">
        <v>6793.1</v>
      </c>
      <c r="AS93" s="15">
        <v>6755.2</v>
      </c>
      <c r="AT93" s="15">
        <v>6929.8</v>
      </c>
      <c r="AU93" s="15">
        <v>6688.8</v>
      </c>
      <c r="AV93" s="15">
        <v>6931.7</v>
      </c>
      <c r="AW93" s="15">
        <v>6759.9</v>
      </c>
      <c r="AX93" s="15">
        <v>6649.2</v>
      </c>
      <c r="AY93" s="16"/>
      <c r="AZ93" s="17" cm="1">
        <f t="array" ref="AZ93">AL93</f>
        <v>6856.3</v>
      </c>
      <c r="BA93" s="17" cm="1">
        <f t="array" ref="BA93">AX93</f>
        <v>6649.2</v>
      </c>
      <c r="BB93" s="17" cm="1">
        <f t="array" ref="BB93">BA93</f>
        <v>6649.2</v>
      </c>
    </row>
    <row r="94" ht="15" customHeight="1">
      <c r="B94" s="18" t="s">
        <v>93</v>
      </c>
      <c r="C94" s="15">
        <v>52000</v>
      </c>
      <c r="D94" s="15">
        <v>52416</v>
      </c>
      <c r="E94" s="15">
        <v>52835.3</v>
      </c>
      <c r="F94" s="15">
        <v>53258</v>
      </c>
      <c r="G94" s="15">
        <v>53684.1</v>
      </c>
      <c r="H94" s="15">
        <v>54113.5</v>
      </c>
      <c r="I94" s="15">
        <v>54546.5</v>
      </c>
      <c r="J94" s="15">
        <v>54982.8</v>
      </c>
      <c r="K94" s="15">
        <v>55422.7</v>
      </c>
      <c r="L94" s="15">
        <v>55866.1</v>
      </c>
      <c r="M94" s="15">
        <v>56313</v>
      </c>
      <c r="N94" s="15">
        <v>56763.5</v>
      </c>
      <c r="O94" s="15">
        <v>57217.6</v>
      </c>
      <c r="P94" s="15">
        <v>57675.4</v>
      </c>
      <c r="Q94" s="15">
        <v>58136.8</v>
      </c>
      <c r="R94" s="15">
        <v>58601.8</v>
      </c>
      <c r="S94" s="15">
        <v>59070.7</v>
      </c>
      <c r="T94" s="15">
        <v>59543.2</v>
      </c>
      <c r="U94" s="15">
        <v>60019.6</v>
      </c>
      <c r="V94" s="15">
        <v>60499.7</v>
      </c>
      <c r="W94" s="15">
        <v>60983.7</v>
      </c>
      <c r="X94" s="15">
        <v>61471.6</v>
      </c>
      <c r="Y94" s="15">
        <v>61963.4</v>
      </c>
      <c r="Z94" s="15">
        <v>62459.1</v>
      </c>
      <c r="AA94" s="15">
        <v>62958.8</v>
      </c>
      <c r="AB94" s="15">
        <v>63462.4</v>
      </c>
      <c r="AC94" s="15">
        <v>63970.1</v>
      </c>
      <c r="AD94" s="15">
        <v>64481.9</v>
      </c>
      <c r="AE94" s="15">
        <v>64997.7</v>
      </c>
      <c r="AF94" s="15">
        <v>65517.7</v>
      </c>
      <c r="AG94" s="15">
        <v>66041.9</v>
      </c>
      <c r="AH94" s="15">
        <v>66570.2</v>
      </c>
      <c r="AI94" s="15">
        <v>67102.8</v>
      </c>
      <c r="AJ94" s="15">
        <v>67639.6</v>
      </c>
      <c r="AK94" s="15">
        <v>68180.7</v>
      </c>
      <c r="AL94" s="15">
        <v>68726.1</v>
      </c>
      <c r="AM94" s="15">
        <v>69276</v>
      </c>
      <c r="AN94" s="15">
        <v>69830.2</v>
      </c>
      <c r="AO94" s="15">
        <v>70388.8</v>
      </c>
      <c r="AP94" s="15">
        <v>70951.9</v>
      </c>
      <c r="AQ94" s="15">
        <v>71519.5</v>
      </c>
      <c r="AR94" s="15">
        <v>72091.7</v>
      </c>
      <c r="AS94" s="15">
        <v>72668.4</v>
      </c>
      <c r="AT94" s="15">
        <v>73249.8</v>
      </c>
      <c r="AU94" s="15">
        <v>73835.8</v>
      </c>
      <c r="AV94" s="15">
        <v>74426.4</v>
      </c>
      <c r="AW94" s="15">
        <v>75021.9</v>
      </c>
      <c r="AX94" s="15">
        <v>75622</v>
      </c>
      <c r="AY94" s="16"/>
      <c r="AZ94" s="17" cm="1">
        <f t="array" ref="AZ94">AL94</f>
        <v>68726.1</v>
      </c>
      <c r="BA94" s="17" cm="1">
        <f t="array" ref="BA94">AX94</f>
        <v>75622</v>
      </c>
      <c r="BB94" s="17" cm="1">
        <f t="array" ref="BB94">BA94</f>
        <v>75622</v>
      </c>
    </row>
    <row r="95" ht="15" customHeight="1">
      <c r="B95" s="19" t="s">
        <v>94</v>
      </c>
      <c r="C95" s="20">
        <f t="shared" si="25" ref="C95:BB95">C75-C91+C92-C93-C94</f>
        <v>51596.9</v>
      </c>
      <c r="D95" s="20">
        <f t="shared" si="25"/>
        <v>51895.1</v>
      </c>
      <c r="E95" s="20">
        <f t="shared" si="25"/>
        <v>49929.4</v>
      </c>
      <c r="F95" s="20">
        <f t="shared" si="25"/>
        <v>50500.9</v>
      </c>
      <c r="G95" s="20">
        <f t="shared" si="25"/>
        <v>50581.5</v>
      </c>
      <c r="H95" s="20">
        <f t="shared" si="25"/>
        <v>49153.9</v>
      </c>
      <c r="I95" s="20">
        <f t="shared" si="25"/>
        <v>48410.3</v>
      </c>
      <c r="J95" s="20">
        <f t="shared" si="25"/>
        <v>48162.5</v>
      </c>
      <c r="K95" s="20">
        <f t="shared" si="25"/>
        <v>47362.5</v>
      </c>
      <c r="L95" s="20">
        <f t="shared" si="25"/>
        <v>48203.3</v>
      </c>
      <c r="M95" s="20">
        <f t="shared" si="25"/>
        <v>48892.2</v>
      </c>
      <c r="N95" s="20">
        <f t="shared" si="25"/>
        <v>47118.5</v>
      </c>
      <c r="O95" s="20">
        <f t="shared" si="25"/>
        <v>47662.3</v>
      </c>
      <c r="P95" s="20">
        <f t="shared" si="25"/>
        <v>48062.8</v>
      </c>
      <c r="Q95" s="20">
        <f t="shared" si="25"/>
        <v>46921.4</v>
      </c>
      <c r="R95" s="20">
        <f t="shared" si="25"/>
        <v>46798.7</v>
      </c>
      <c r="S95" s="20">
        <f t="shared" si="25"/>
        <v>47304.4</v>
      </c>
      <c r="T95" s="20">
        <f t="shared" si="25"/>
        <v>46214.8</v>
      </c>
      <c r="U95" s="20">
        <f t="shared" si="25"/>
        <v>45826.2</v>
      </c>
      <c r="V95" s="20">
        <f t="shared" si="25"/>
        <v>45189.3</v>
      </c>
      <c r="W95" s="20">
        <f t="shared" si="25"/>
        <v>44957.5</v>
      </c>
      <c r="X95" s="20">
        <f t="shared" si="25"/>
        <v>45003</v>
      </c>
      <c r="Y95" s="20">
        <f t="shared" si="25"/>
        <v>47322.5</v>
      </c>
      <c r="Z95" s="20">
        <f t="shared" si="25"/>
        <v>45706.9</v>
      </c>
      <c r="AA95" s="20">
        <f t="shared" si="25"/>
        <v>46567</v>
      </c>
      <c r="AB95" s="20">
        <f t="shared" si="25"/>
        <v>47155.5</v>
      </c>
      <c r="AC95" s="20">
        <f t="shared" si="25"/>
        <v>45697.3</v>
      </c>
      <c r="AD95" s="20">
        <f t="shared" si="25"/>
        <v>45345.6</v>
      </c>
      <c r="AE95" s="20">
        <f t="shared" si="25"/>
        <v>46305.8</v>
      </c>
      <c r="AF95" s="20">
        <f t="shared" si="25"/>
        <v>44993.3</v>
      </c>
      <c r="AG95" s="20">
        <f t="shared" si="25"/>
        <v>44930.3</v>
      </c>
      <c r="AH95" s="20">
        <f t="shared" si="25"/>
        <v>41540.7</v>
      </c>
      <c r="AI95" s="20">
        <f t="shared" si="25"/>
        <v>40622.9</v>
      </c>
      <c r="AJ95" s="20">
        <f t="shared" si="25"/>
        <v>44078.2</v>
      </c>
      <c r="AK95" s="20">
        <f t="shared" si="25"/>
        <v>44943</v>
      </c>
      <c r="AL95" s="20">
        <f t="shared" si="25"/>
        <v>43055.6</v>
      </c>
      <c r="AM95" s="20">
        <f t="shared" si="25"/>
        <v>43701.1</v>
      </c>
      <c r="AN95" s="20">
        <f t="shared" si="25"/>
        <v>45068.5</v>
      </c>
      <c r="AO95" s="20">
        <f t="shared" si="25"/>
        <v>43977.3</v>
      </c>
      <c r="AP95" s="20">
        <f t="shared" si="25"/>
        <v>44149</v>
      </c>
      <c r="AQ95" s="20">
        <f t="shared" si="25"/>
        <v>46118.6</v>
      </c>
      <c r="AR95" s="20">
        <f t="shared" si="25"/>
        <v>44423.6</v>
      </c>
      <c r="AS95" s="20">
        <f t="shared" si="25"/>
        <v>43936</v>
      </c>
      <c r="AT95" s="20">
        <f t="shared" si="25"/>
        <v>43942.2</v>
      </c>
      <c r="AU95" s="20">
        <f t="shared" si="25"/>
        <v>42973.3</v>
      </c>
      <c r="AV95" s="20">
        <f t="shared" si="25"/>
        <v>44212.5</v>
      </c>
      <c r="AW95" s="20">
        <f t="shared" si="25"/>
        <v>44945.4</v>
      </c>
      <c r="AX95" s="20">
        <f t="shared" si="25"/>
        <v>42617.1</v>
      </c>
      <c r="AY95" s="21"/>
      <c r="AZ95" s="22">
        <f t="shared" si="25"/>
        <v>45277.6</v>
      </c>
      <c r="BA95" s="22">
        <f t="shared" si="25"/>
        <v>48315.1</v>
      </c>
      <c r="BB95" s="22">
        <f t="shared" si="25"/>
        <v>52415.498</v>
      </c>
    </row>
    <row r="96" ht="15" customHeight="1">
      <c r="B96" s="1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28"/>
      <c r="BA96" s="28"/>
      <c r="BB96" s="28"/>
    </row>
    <row r="97" ht="15" customHeight="1">
      <c r="B97" s="13" t="s">
        <v>95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30"/>
      <c r="BA97" s="30"/>
      <c r="BB97" s="30"/>
    </row>
    <row r="98" ht="15" customHeight="1">
      <c r="B98" s="1" t="s">
        <v>96</v>
      </c>
      <c r="C98" s="31">
        <v>1199</v>
      </c>
      <c r="D98" s="31">
        <v>1225</v>
      </c>
      <c r="E98" s="31">
        <v>1242</v>
      </c>
      <c r="F98" s="31">
        <v>1264</v>
      </c>
      <c r="G98" s="31">
        <v>1295</v>
      </c>
      <c r="H98" s="31">
        <v>1323</v>
      </c>
      <c r="I98" s="31">
        <v>1356</v>
      </c>
      <c r="J98" s="31">
        <v>1375</v>
      </c>
      <c r="K98" s="31">
        <v>1399</v>
      </c>
      <c r="L98" s="31">
        <v>1412</v>
      </c>
      <c r="M98" s="31">
        <v>1425</v>
      </c>
      <c r="N98" s="31">
        <v>1437</v>
      </c>
      <c r="O98" s="31">
        <v>1472</v>
      </c>
      <c r="P98" s="31">
        <v>1503</v>
      </c>
      <c r="Q98" s="31">
        <v>1541</v>
      </c>
      <c r="R98" s="31">
        <v>1552</v>
      </c>
      <c r="S98" s="31">
        <v>1566</v>
      </c>
      <c r="T98" s="31">
        <v>1583</v>
      </c>
      <c r="U98" s="31">
        <v>1601</v>
      </c>
      <c r="V98" s="31">
        <v>1635</v>
      </c>
      <c r="W98" s="31">
        <v>1657</v>
      </c>
      <c r="X98" s="31">
        <v>1679</v>
      </c>
      <c r="Y98" s="31">
        <v>1711</v>
      </c>
      <c r="Z98" s="31">
        <v>1721</v>
      </c>
      <c r="AA98" s="31">
        <v>1749</v>
      </c>
      <c r="AB98" s="31">
        <v>1755</v>
      </c>
      <c r="AC98" s="31">
        <v>1787</v>
      </c>
      <c r="AD98" s="31">
        <v>1800</v>
      </c>
      <c r="AE98" s="31">
        <v>1818</v>
      </c>
      <c r="AF98" s="31">
        <v>1830</v>
      </c>
      <c r="AG98" s="31">
        <v>1851</v>
      </c>
      <c r="AH98" s="31">
        <v>1872</v>
      </c>
      <c r="AI98" s="31">
        <v>1894</v>
      </c>
      <c r="AJ98" s="31">
        <v>1910</v>
      </c>
      <c r="AK98" s="31">
        <v>1937</v>
      </c>
      <c r="AL98" s="31">
        <v>1958</v>
      </c>
      <c r="AM98" s="31">
        <v>1970</v>
      </c>
      <c r="AN98" s="31">
        <v>2004</v>
      </c>
      <c r="AO98" s="31">
        <v>2021</v>
      </c>
      <c r="AP98" s="31">
        <v>2035</v>
      </c>
      <c r="AQ98" s="31">
        <v>2055</v>
      </c>
      <c r="AR98" s="31">
        <v>2067</v>
      </c>
      <c r="AS98" s="31">
        <v>2090</v>
      </c>
      <c r="AT98" s="31">
        <v>2112</v>
      </c>
      <c r="AU98" s="31">
        <v>2131</v>
      </c>
      <c r="AV98" s="31">
        <v>2139</v>
      </c>
      <c r="AW98" s="31">
        <v>2160</v>
      </c>
      <c r="AX98" s="31">
        <v>2171</v>
      </c>
      <c r="AY98" s="32"/>
      <c r="AZ98" s="33" cm="1">
        <f t="array" ref="AZ98">AL98</f>
        <v>1958</v>
      </c>
      <c r="BA98" s="33" cm="1">
        <f t="array" ref="BA98">AX98</f>
        <v>2171</v>
      </c>
      <c r="BB98" s="33" cm="1">
        <f t="array" ref="BB98">BA98</f>
        <v>2171</v>
      </c>
    </row>
    <row r="99" ht="15" customHeight="1">
      <c r="B99" s="1" t="s">
        <v>97</v>
      </c>
      <c r="C99" s="31">
        <v>34</v>
      </c>
      <c r="D99" s="31">
        <v>41</v>
      </c>
      <c r="E99" s="31">
        <v>31</v>
      </c>
      <c r="F99" s="31">
        <v>35</v>
      </c>
      <c r="G99" s="31">
        <v>44</v>
      </c>
      <c r="H99" s="31">
        <v>43</v>
      </c>
      <c r="I99" s="31">
        <v>47</v>
      </c>
      <c r="J99" s="31">
        <v>31</v>
      </c>
      <c r="K99" s="31">
        <v>39</v>
      </c>
      <c r="L99" s="31">
        <v>30</v>
      </c>
      <c r="M99" s="31">
        <v>29</v>
      </c>
      <c r="N99" s="31">
        <v>31</v>
      </c>
      <c r="O99" s="31">
        <v>48</v>
      </c>
      <c r="P99" s="31">
        <v>51</v>
      </c>
      <c r="Q99" s="31">
        <v>50</v>
      </c>
      <c r="R99" s="31">
        <v>32</v>
      </c>
      <c r="S99" s="31">
        <v>31</v>
      </c>
      <c r="T99" s="31">
        <v>34</v>
      </c>
      <c r="U99" s="31">
        <v>32</v>
      </c>
      <c r="V99" s="31">
        <v>49</v>
      </c>
      <c r="W99" s="31">
        <v>41</v>
      </c>
      <c r="X99" s="31">
        <v>41</v>
      </c>
      <c r="Y99" s="31">
        <v>52</v>
      </c>
      <c r="Z99" s="31">
        <v>34</v>
      </c>
      <c r="AA99" s="31">
        <v>46</v>
      </c>
      <c r="AB99" s="31">
        <v>29</v>
      </c>
      <c r="AC99" s="31">
        <v>52</v>
      </c>
      <c r="AD99" s="31">
        <v>28</v>
      </c>
      <c r="AE99" s="31">
        <v>38</v>
      </c>
      <c r="AF99" s="31">
        <v>33</v>
      </c>
      <c r="AG99" s="31">
        <v>37</v>
      </c>
      <c r="AH99" s="31">
        <v>42</v>
      </c>
      <c r="AI99" s="31">
        <v>39</v>
      </c>
      <c r="AJ99" s="31">
        <v>32</v>
      </c>
      <c r="AK99" s="31">
        <v>47</v>
      </c>
      <c r="AL99" s="31">
        <v>43</v>
      </c>
      <c r="AM99" s="31">
        <v>39</v>
      </c>
      <c r="AN99" s="31">
        <v>50</v>
      </c>
      <c r="AO99" s="31">
        <v>34</v>
      </c>
      <c r="AP99" s="31">
        <v>41</v>
      </c>
      <c r="AQ99" s="31">
        <v>43</v>
      </c>
      <c r="AR99" s="31">
        <v>32</v>
      </c>
      <c r="AS99" s="31">
        <v>49</v>
      </c>
      <c r="AT99" s="31">
        <v>48</v>
      </c>
      <c r="AU99" s="31">
        <v>39</v>
      </c>
      <c r="AV99" s="31">
        <v>29</v>
      </c>
      <c r="AW99" s="31">
        <v>48</v>
      </c>
      <c r="AX99" s="31">
        <v>38</v>
      </c>
      <c r="AY99" s="32"/>
      <c r="AZ99" s="33">
        <f t="shared" si="2"/>
        <v>466</v>
      </c>
      <c r="BA99" s="33">
        <f t="shared" si="3"/>
        <v>490</v>
      </c>
      <c r="BB99" s="33">
        <f t="shared" si="4"/>
        <v>519.4</v>
      </c>
    </row>
    <row r="100" ht="15" customHeight="1">
      <c r="B100" s="1" t="s">
        <v>98</v>
      </c>
      <c r="C100" s="34">
        <v>0.0134</v>
      </c>
      <c r="D100" s="34">
        <v>0.0082</v>
      </c>
      <c r="E100" s="34">
        <v>0.0113</v>
      </c>
      <c r="F100" s="34">
        <v>0.0115</v>
      </c>
      <c r="G100" s="34">
        <v>0.0106</v>
      </c>
      <c r="H100" s="34">
        <v>0.0094</v>
      </c>
      <c r="I100" s="34">
        <v>0.0091</v>
      </c>
      <c r="J100" s="34">
        <v>0.0106</v>
      </c>
      <c r="K100" s="34">
        <v>0.0082</v>
      </c>
      <c r="L100" s="34">
        <v>0.0127</v>
      </c>
      <c r="M100" s="34">
        <v>0.0103</v>
      </c>
      <c r="N100" s="34">
        <v>0.014</v>
      </c>
      <c r="O100" s="34">
        <v>0.0139</v>
      </c>
      <c r="P100" s="34">
        <v>0.009</v>
      </c>
      <c r="Q100" s="34">
        <v>0.0101</v>
      </c>
      <c r="R100" s="34">
        <v>0.0096</v>
      </c>
      <c r="S100" s="34">
        <v>0.0135</v>
      </c>
      <c r="T100" s="34">
        <v>0.0099</v>
      </c>
      <c r="U100" s="34">
        <v>0.0136</v>
      </c>
      <c r="V100" s="34">
        <v>0.0127</v>
      </c>
      <c r="W100" s="34">
        <v>0.0102</v>
      </c>
      <c r="X100" s="34">
        <v>0.0133</v>
      </c>
      <c r="Y100" s="34">
        <v>0.0104</v>
      </c>
      <c r="Z100" s="34">
        <v>0.0115</v>
      </c>
      <c r="AA100" s="34">
        <v>0.0091</v>
      </c>
      <c r="AB100" s="34">
        <v>0.0095</v>
      </c>
      <c r="AC100" s="34">
        <v>0.012</v>
      </c>
      <c r="AD100" s="34">
        <v>0.0089</v>
      </c>
      <c r="AE100" s="34">
        <v>0.0134</v>
      </c>
      <c r="AF100" s="34">
        <v>0.0081</v>
      </c>
      <c r="AG100" s="34">
        <v>0.0101</v>
      </c>
      <c r="AH100" s="34">
        <v>0.0092</v>
      </c>
      <c r="AI100" s="34">
        <v>0.0136</v>
      </c>
      <c r="AJ100" s="34">
        <v>0.0118</v>
      </c>
      <c r="AK100" s="34">
        <v>0.0096</v>
      </c>
      <c r="AL100" s="34">
        <v>0.0101</v>
      </c>
      <c r="AM100" s="34">
        <v>0.0124</v>
      </c>
      <c r="AN100" s="34">
        <v>0.0112</v>
      </c>
      <c r="AO100" s="34">
        <v>0.0127</v>
      </c>
      <c r="AP100" s="34">
        <v>0.0089</v>
      </c>
      <c r="AQ100" s="34">
        <v>0.0118</v>
      </c>
      <c r="AR100" s="34">
        <v>0.0098</v>
      </c>
      <c r="AS100" s="34">
        <v>0.0123</v>
      </c>
      <c r="AT100" s="34">
        <v>0.0108</v>
      </c>
      <c r="AU100" s="34">
        <v>0.0086</v>
      </c>
      <c r="AV100" s="34">
        <v>0.0125</v>
      </c>
      <c r="AW100" s="34">
        <v>0.0096</v>
      </c>
      <c r="AX100" s="34">
        <v>0.0111</v>
      </c>
      <c r="AY100" s="35"/>
      <c r="AZ100" s="36">
        <f>AVERAGE(AA100:AL100)</f>
        <v>0.01045</v>
      </c>
      <c r="BA100" s="36">
        <f>AVERAGE(AM100:AX100)</f>
        <v>0.010975</v>
      </c>
      <c r="BB100" s="36" cm="1">
        <f t="array" ref="BB100">BA100</f>
        <v>0.010975</v>
      </c>
    </row>
    <row r="101" ht="15" customHeight="1">
      <c r="B101" s="1" t="s">
        <v>99</v>
      </c>
      <c r="C101" s="15">
        <v>32991</v>
      </c>
      <c r="D101" s="15">
        <v>33557.8</v>
      </c>
      <c r="E101" s="15">
        <v>37828.5</v>
      </c>
      <c r="F101" s="15">
        <v>35914.8</v>
      </c>
      <c r="G101" s="15">
        <v>37413.8</v>
      </c>
      <c r="H101" s="15">
        <v>38949.1</v>
      </c>
      <c r="I101" s="15">
        <v>33920.6</v>
      </c>
      <c r="J101" s="15">
        <v>33115.4</v>
      </c>
      <c r="K101" s="15">
        <v>39415.7</v>
      </c>
      <c r="L101" s="15">
        <v>41238.7</v>
      </c>
      <c r="M101" s="15">
        <v>40749.7</v>
      </c>
      <c r="N101" s="15">
        <v>37726.6</v>
      </c>
      <c r="O101" s="15">
        <v>36813.3</v>
      </c>
      <c r="P101" s="15">
        <v>38126.6</v>
      </c>
      <c r="Q101" s="15">
        <v>41532.5</v>
      </c>
      <c r="R101" s="15">
        <v>40055.9</v>
      </c>
      <c r="S101" s="15">
        <v>41732.9</v>
      </c>
      <c r="T101" s="15">
        <v>44212.6</v>
      </c>
      <c r="U101" s="15">
        <v>38202.6</v>
      </c>
      <c r="V101" s="15">
        <v>36647.4</v>
      </c>
      <c r="W101" s="15">
        <v>45022.2</v>
      </c>
      <c r="X101" s="15">
        <v>45386.8</v>
      </c>
      <c r="Y101" s="15">
        <v>46666.4</v>
      </c>
      <c r="Z101" s="15">
        <v>42228.9</v>
      </c>
      <c r="AA101" s="15">
        <v>40623.6</v>
      </c>
      <c r="AB101" s="15">
        <v>41221.4</v>
      </c>
      <c r="AC101" s="15">
        <v>46193.8</v>
      </c>
      <c r="AD101" s="15">
        <v>45131</v>
      </c>
      <c r="AE101" s="15">
        <v>45452.4</v>
      </c>
      <c r="AF101" s="15">
        <v>48058.3</v>
      </c>
      <c r="AG101" s="15">
        <v>42244.4</v>
      </c>
      <c r="AH101" s="15">
        <v>40256.4</v>
      </c>
      <c r="AI101" s="15">
        <v>48713.2</v>
      </c>
      <c r="AJ101" s="15">
        <v>49738.8</v>
      </c>
      <c r="AK101" s="15">
        <v>49635.9</v>
      </c>
      <c r="AL101" s="15">
        <v>45780.8</v>
      </c>
      <c r="AM101" s="15">
        <v>45033.4</v>
      </c>
      <c r="AN101" s="15">
        <v>45451.6</v>
      </c>
      <c r="AO101" s="15">
        <v>50370.3</v>
      </c>
      <c r="AP101" s="15">
        <v>48557.7</v>
      </c>
      <c r="AQ101" s="15">
        <v>49922.8</v>
      </c>
      <c r="AR101" s="15">
        <v>51884.9</v>
      </c>
      <c r="AS101" s="15">
        <v>45995</v>
      </c>
      <c r="AT101" s="15">
        <v>44085.6</v>
      </c>
      <c r="AU101" s="15">
        <v>52272.9</v>
      </c>
      <c r="AV101" s="15">
        <v>54667.9</v>
      </c>
      <c r="AW101" s="15">
        <v>54660.1</v>
      </c>
      <c r="AX101" s="15">
        <v>50898.2</v>
      </c>
      <c r="AY101" s="16"/>
      <c r="AZ101" s="17" cm="1">
        <f t="array" ref="AZ101">AL101</f>
        <v>45780.8</v>
      </c>
      <c r="BA101" s="17" cm="1">
        <f t="array" ref="BA101">AX101</f>
        <v>50898.2</v>
      </c>
      <c r="BB101" s="17" cm="1">
        <f t="array" ref="BB101">BA101</f>
        <v>50898.2</v>
      </c>
    </row>
    <row r="102" ht="15" customHeight="1">
      <c r="B102" s="1" t="s">
        <v>100</v>
      </c>
      <c r="C102" s="37">
        <f t="shared" si="26" ref="C102:BB102">_xlfn.IFERROR(C101/C98*1000,0)</f>
        <v>27515.4295246038</v>
      </c>
      <c r="D102" s="37">
        <f t="shared" si="26"/>
        <v>27394.1224489796</v>
      </c>
      <c r="E102" s="37">
        <f t="shared" si="26"/>
        <v>30457.729468599</v>
      </c>
      <c r="F102" s="37">
        <f t="shared" si="26"/>
        <v>28413.6075949367</v>
      </c>
      <c r="G102" s="37">
        <f t="shared" si="26"/>
        <v>28890.9652509653</v>
      </c>
      <c r="H102" s="37">
        <f t="shared" si="26"/>
        <v>29439.984882842</v>
      </c>
      <c r="I102" s="37">
        <f t="shared" si="26"/>
        <v>25015.191740413</v>
      </c>
      <c r="J102" s="37">
        <f t="shared" si="26"/>
        <v>24083.9272727273</v>
      </c>
      <c r="K102" s="37">
        <f t="shared" si="26"/>
        <v>28174.1958541816</v>
      </c>
      <c r="L102" s="37">
        <f t="shared" si="26"/>
        <v>29205.8781869688</v>
      </c>
      <c r="M102" s="37">
        <f t="shared" si="26"/>
        <v>28596.2807017544</v>
      </c>
      <c r="N102" s="37">
        <f t="shared" si="26"/>
        <v>26253.7230340988</v>
      </c>
      <c r="O102" s="37">
        <f t="shared" si="26"/>
        <v>25009.035326087</v>
      </c>
      <c r="P102" s="37">
        <f t="shared" si="26"/>
        <v>25366.999334664</v>
      </c>
      <c r="Q102" s="37">
        <f t="shared" si="26"/>
        <v>26951.6547696301</v>
      </c>
      <c r="R102" s="37">
        <f t="shared" si="26"/>
        <v>25809.2139175258</v>
      </c>
      <c r="S102" s="37">
        <f t="shared" si="26"/>
        <v>26649.3614303959</v>
      </c>
      <c r="T102" s="37">
        <f t="shared" si="26"/>
        <v>27929.6272899558</v>
      </c>
      <c r="U102" s="37">
        <f t="shared" si="26"/>
        <v>23861.711430356</v>
      </c>
      <c r="V102" s="37">
        <f t="shared" si="26"/>
        <v>22414.3119266055</v>
      </c>
      <c r="W102" s="37">
        <f t="shared" si="26"/>
        <v>27170.9112854556</v>
      </c>
      <c r="X102" s="37">
        <f t="shared" si="26"/>
        <v>27032.0428826683</v>
      </c>
      <c r="Y102" s="37">
        <f t="shared" si="26"/>
        <v>27274.3424897721</v>
      </c>
      <c r="Z102" s="37">
        <f t="shared" si="26"/>
        <v>24537.4201045904</v>
      </c>
      <c r="AA102" s="37">
        <f t="shared" si="26"/>
        <v>23226.7581475129</v>
      </c>
      <c r="AB102" s="37">
        <f t="shared" si="26"/>
        <v>23487.9772079772</v>
      </c>
      <c r="AC102" s="37">
        <f t="shared" si="26"/>
        <v>25849.9160604365</v>
      </c>
      <c r="AD102" s="37">
        <f t="shared" si="26"/>
        <v>25072.7777777778</v>
      </c>
      <c r="AE102" s="37">
        <f t="shared" si="26"/>
        <v>25001.3201320132</v>
      </c>
      <c r="AF102" s="37">
        <f t="shared" si="26"/>
        <v>26261.3661202186</v>
      </c>
      <c r="AG102" s="37">
        <f t="shared" si="26"/>
        <v>22822.4743381956</v>
      </c>
      <c r="AH102" s="37">
        <f t="shared" si="26"/>
        <v>21504.4871794872</v>
      </c>
      <c r="AI102" s="37">
        <f t="shared" si="26"/>
        <v>25719.7465681098</v>
      </c>
      <c r="AJ102" s="37">
        <f t="shared" si="26"/>
        <v>26041.2565445026</v>
      </c>
      <c r="AK102" s="37">
        <f t="shared" si="26"/>
        <v>25625.1419721218</v>
      </c>
      <c r="AL102" s="37">
        <f t="shared" si="26"/>
        <v>23381.4096016343</v>
      </c>
      <c r="AM102" s="37">
        <f t="shared" si="26"/>
        <v>22859.5939086294</v>
      </c>
      <c r="AN102" s="37">
        <f t="shared" si="26"/>
        <v>22680.4391217565</v>
      </c>
      <c r="AO102" s="37">
        <f t="shared" si="26"/>
        <v>24923.4537357744</v>
      </c>
      <c r="AP102" s="37">
        <f t="shared" si="26"/>
        <v>23861.2776412776</v>
      </c>
      <c r="AQ102" s="37">
        <f t="shared" si="26"/>
        <v>24293.3333333333</v>
      </c>
      <c r="AR102" s="37">
        <f t="shared" si="26"/>
        <v>25101.5481373972</v>
      </c>
      <c r="AS102" s="37">
        <f t="shared" si="26"/>
        <v>22007.1770334928</v>
      </c>
      <c r="AT102" s="37">
        <f t="shared" si="26"/>
        <v>20873.8636363636</v>
      </c>
      <c r="AU102" s="37">
        <f t="shared" si="26"/>
        <v>24529.751290474</v>
      </c>
      <c r="AV102" s="37">
        <f t="shared" si="26"/>
        <v>25557.6905095839</v>
      </c>
      <c r="AW102" s="37">
        <f t="shared" si="26"/>
        <v>25305.6018518519</v>
      </c>
      <c r="AX102" s="37">
        <f t="shared" si="26"/>
        <v>23444.5877475818</v>
      </c>
      <c r="AY102" s="32"/>
      <c r="AZ102" s="33">
        <f t="shared" si="26"/>
        <v>23381.4096016343</v>
      </c>
      <c r="BA102" s="33">
        <f t="shared" si="26"/>
        <v>23444.5877475818</v>
      </c>
      <c r="BB102" s="33">
        <f t="shared" si="26"/>
        <v>23444.5877475818</v>
      </c>
    </row>
    <row r="103" ht="15" customHeight="1">
      <c r="B103" s="1" t="s">
        <v>101</v>
      </c>
      <c r="C103" s="15">
        <v>11837</v>
      </c>
      <c r="D103" s="15">
        <v>12040.4</v>
      </c>
      <c r="E103" s="15">
        <v>13572.7</v>
      </c>
      <c r="F103" s="15">
        <v>12886.1</v>
      </c>
      <c r="G103" s="15">
        <v>13423.9</v>
      </c>
      <c r="H103" s="15">
        <v>13974.8</v>
      </c>
      <c r="I103" s="15">
        <v>12170.6</v>
      </c>
      <c r="J103" s="15">
        <v>11881.7</v>
      </c>
      <c r="K103" s="15">
        <v>14142.2</v>
      </c>
      <c r="L103" s="15">
        <v>14796.3</v>
      </c>
      <c r="M103" s="15">
        <v>14620.8</v>
      </c>
      <c r="N103" s="15">
        <v>13536.1</v>
      </c>
      <c r="O103" s="15">
        <v>13208.5</v>
      </c>
      <c r="P103" s="15">
        <v>13679.7</v>
      </c>
      <c r="Q103" s="15">
        <v>14901.7</v>
      </c>
      <c r="R103" s="15">
        <v>14371.9</v>
      </c>
      <c r="S103" s="15">
        <v>14973.6</v>
      </c>
      <c r="T103" s="15">
        <v>15863.3</v>
      </c>
      <c r="U103" s="15">
        <v>13707</v>
      </c>
      <c r="V103" s="15">
        <v>13149</v>
      </c>
      <c r="W103" s="15">
        <v>16153.8</v>
      </c>
      <c r="X103" s="15">
        <v>16284.6</v>
      </c>
      <c r="Y103" s="15">
        <v>16743.7</v>
      </c>
      <c r="Z103" s="15">
        <v>15151.6</v>
      </c>
      <c r="AA103" s="15">
        <v>14575.6</v>
      </c>
      <c r="AB103" s="15">
        <v>14790.1</v>
      </c>
      <c r="AC103" s="15">
        <v>16574.2</v>
      </c>
      <c r="AD103" s="15">
        <v>16192.9</v>
      </c>
      <c r="AE103" s="15">
        <v>16308.2</v>
      </c>
      <c r="AF103" s="15">
        <v>17243.1</v>
      </c>
      <c r="AG103" s="15">
        <v>15157.1</v>
      </c>
      <c r="AH103" s="15">
        <v>14443.8</v>
      </c>
      <c r="AI103" s="15">
        <v>17478.1</v>
      </c>
      <c r="AJ103" s="15">
        <v>17846.1</v>
      </c>
      <c r="AK103" s="15">
        <v>17809.2</v>
      </c>
      <c r="AL103" s="15">
        <v>16426</v>
      </c>
      <c r="AM103" s="15">
        <v>16157.8</v>
      </c>
      <c r="AN103" s="15">
        <v>16307.9</v>
      </c>
      <c r="AO103" s="15">
        <v>18072.7</v>
      </c>
      <c r="AP103" s="15">
        <v>17422.3</v>
      </c>
      <c r="AQ103" s="15">
        <v>17912.1</v>
      </c>
      <c r="AR103" s="15">
        <v>18616.1</v>
      </c>
      <c r="AS103" s="15">
        <v>16502.9</v>
      </c>
      <c r="AT103" s="15">
        <v>15817.8</v>
      </c>
      <c r="AU103" s="15">
        <v>18755.3</v>
      </c>
      <c r="AV103" s="15">
        <v>19614.6</v>
      </c>
      <c r="AW103" s="15">
        <v>19611.8</v>
      </c>
      <c r="AX103" s="15">
        <v>18262.1</v>
      </c>
      <c r="AY103" s="16"/>
      <c r="AZ103" s="17" cm="1">
        <f t="array" ref="AZ103">AL103</f>
        <v>16426</v>
      </c>
      <c r="BA103" s="17" cm="1">
        <f t="array" ref="BA103">AX103</f>
        <v>18262.1</v>
      </c>
      <c r="BB103" s="17" cm="1">
        <f t="array" ref="BB103">BA103</f>
        <v>18262.1</v>
      </c>
    </row>
    <row r="104" ht="15" customHeight="1">
      <c r="B104" s="1" t="s">
        <v>102</v>
      </c>
      <c r="C104" s="31">
        <v>335</v>
      </c>
      <c r="D104" s="31">
        <v>346</v>
      </c>
      <c r="E104" s="31">
        <v>346</v>
      </c>
      <c r="F104" s="31">
        <v>346</v>
      </c>
      <c r="G104" s="31">
        <v>345</v>
      </c>
      <c r="H104" s="31">
        <v>355</v>
      </c>
      <c r="I104" s="31">
        <v>354</v>
      </c>
      <c r="J104" s="31">
        <v>353</v>
      </c>
      <c r="K104" s="31">
        <v>361</v>
      </c>
      <c r="L104" s="31">
        <v>362</v>
      </c>
      <c r="M104" s="31">
        <v>369</v>
      </c>
      <c r="N104" s="31">
        <v>369</v>
      </c>
      <c r="O104" s="31">
        <v>369</v>
      </c>
      <c r="P104" s="31">
        <v>374</v>
      </c>
      <c r="Q104" s="31">
        <v>376</v>
      </c>
      <c r="R104" s="31">
        <v>379</v>
      </c>
      <c r="S104" s="31">
        <v>375</v>
      </c>
      <c r="T104" s="31">
        <v>376</v>
      </c>
      <c r="U104" s="31">
        <v>385</v>
      </c>
      <c r="V104" s="31">
        <v>382</v>
      </c>
      <c r="W104" s="31">
        <v>392</v>
      </c>
      <c r="X104" s="31">
        <v>386</v>
      </c>
      <c r="Y104" s="31">
        <v>396</v>
      </c>
      <c r="Z104" s="31">
        <v>394</v>
      </c>
      <c r="AA104" s="31">
        <v>400</v>
      </c>
      <c r="AB104" s="31">
        <v>401</v>
      </c>
      <c r="AC104" s="31">
        <v>401</v>
      </c>
      <c r="AD104" s="31">
        <v>406</v>
      </c>
      <c r="AE104" s="31">
        <v>404</v>
      </c>
      <c r="AF104" s="31">
        <v>405</v>
      </c>
      <c r="AG104" s="31">
        <v>409</v>
      </c>
      <c r="AH104" s="31">
        <v>416</v>
      </c>
      <c r="AI104" s="31">
        <v>414</v>
      </c>
      <c r="AJ104" s="31">
        <v>423</v>
      </c>
      <c r="AK104" s="31">
        <v>417</v>
      </c>
      <c r="AL104" s="31">
        <v>425</v>
      </c>
      <c r="AM104" s="31">
        <v>424</v>
      </c>
      <c r="AN104" s="31">
        <v>428</v>
      </c>
      <c r="AO104" s="31">
        <v>426</v>
      </c>
      <c r="AP104" s="31">
        <v>431</v>
      </c>
      <c r="AQ104" s="31">
        <v>439</v>
      </c>
      <c r="AR104" s="31">
        <v>434</v>
      </c>
      <c r="AS104" s="31">
        <v>436</v>
      </c>
      <c r="AT104" s="31">
        <v>446</v>
      </c>
      <c r="AU104" s="31">
        <v>443</v>
      </c>
      <c r="AV104" s="31">
        <v>450</v>
      </c>
      <c r="AW104" s="31">
        <v>451</v>
      </c>
      <c r="AX104" s="31">
        <v>450</v>
      </c>
      <c r="AY104" s="32"/>
      <c r="AZ104" s="33" cm="1">
        <f t="array" ref="AZ104">AL104</f>
        <v>425</v>
      </c>
      <c r="BA104" s="33" cm="1">
        <f t="array" ref="BA104">AX104</f>
        <v>450</v>
      </c>
      <c r="BB104" s="33" cm="1">
        <f t="array" ref="BB104">BA104</f>
        <v>450</v>
      </c>
    </row>
    <row r="105" ht="15" customHeight="1">
      <c r="B105" s="1" t="s">
        <v>103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27">
        <f t="shared" si="27" ref="N105:BB105">_xlfn.IFERROR(N106/N104,0)</f>
        <v>138.89566395664</v>
      </c>
      <c r="O105" s="27">
        <f t="shared" si="27"/>
        <v>140.094579945799</v>
      </c>
      <c r="P105" s="27">
        <f t="shared" si="27"/>
        <v>139.635561497326</v>
      </c>
      <c r="Q105" s="27">
        <f t="shared" si="27"/>
        <v>140.032978723404</v>
      </c>
      <c r="R105" s="27">
        <f t="shared" si="27"/>
        <v>140.189182058047</v>
      </c>
      <c r="S105" s="27">
        <f t="shared" si="27"/>
        <v>143.0176</v>
      </c>
      <c r="T105" s="27">
        <f t="shared" si="27"/>
        <v>144.257446808511</v>
      </c>
      <c r="U105" s="27">
        <f t="shared" si="27"/>
        <v>142.172467532468</v>
      </c>
      <c r="V105" s="27">
        <f t="shared" si="27"/>
        <v>144.359162303665</v>
      </c>
      <c r="W105" s="27">
        <f t="shared" si="27"/>
        <v>142.331887755102</v>
      </c>
      <c r="X105" s="27">
        <f t="shared" si="27"/>
        <v>145.788082901554</v>
      </c>
      <c r="Y105" s="27">
        <f t="shared" si="27"/>
        <v>143.835858585859</v>
      </c>
      <c r="Z105" s="27">
        <f t="shared" si="27"/>
        <v>145.888578680203</v>
      </c>
      <c r="AA105" s="27">
        <f t="shared" si="27"/>
        <v>144.80275</v>
      </c>
      <c r="AB105" s="27">
        <f t="shared" si="27"/>
        <v>145.334912718204</v>
      </c>
      <c r="AC105" s="27">
        <f t="shared" si="27"/>
        <v>146.68029925187</v>
      </c>
      <c r="AD105" s="27">
        <f t="shared" si="27"/>
        <v>146.320689655172</v>
      </c>
      <c r="AE105" s="27">
        <f t="shared" si="27"/>
        <v>148.110643564356</v>
      </c>
      <c r="AF105" s="27">
        <f t="shared" si="27"/>
        <v>148.843950617284</v>
      </c>
      <c r="AG105" s="27">
        <f t="shared" si="27"/>
        <v>148.532029339853</v>
      </c>
      <c r="AH105" s="27">
        <f t="shared" si="27"/>
        <v>147.036778846154</v>
      </c>
      <c r="AI105" s="27">
        <f t="shared" si="27"/>
        <v>148.778985507246</v>
      </c>
      <c r="AJ105" s="27">
        <f t="shared" si="27"/>
        <v>146.804255319149</v>
      </c>
      <c r="AK105" s="27">
        <f t="shared" si="27"/>
        <v>149.740767386091</v>
      </c>
      <c r="AL105" s="27">
        <f t="shared" si="27"/>
        <v>147.889411764706</v>
      </c>
      <c r="AM105" s="27">
        <f t="shared" si="27"/>
        <v>149.441981132075</v>
      </c>
      <c r="AN105" s="27">
        <f t="shared" si="27"/>
        <v>149.189252336449</v>
      </c>
      <c r="AO105" s="27">
        <f t="shared" si="27"/>
        <v>151.02441314554</v>
      </c>
      <c r="AP105" s="27">
        <f t="shared" si="27"/>
        <v>150.192575406032</v>
      </c>
      <c r="AQ105" s="27">
        <f t="shared" si="27"/>
        <v>148.63416856492</v>
      </c>
      <c r="AR105" s="27">
        <f t="shared" si="27"/>
        <v>151.367050691244</v>
      </c>
      <c r="AS105" s="27">
        <f t="shared" si="27"/>
        <v>151.668348623853</v>
      </c>
      <c r="AT105" s="27">
        <f t="shared" si="27"/>
        <v>149.261434977578</v>
      </c>
      <c r="AU105" s="27">
        <f t="shared" si="27"/>
        <v>151.202257336343</v>
      </c>
      <c r="AV105" s="27">
        <f t="shared" si="27"/>
        <v>150.118</v>
      </c>
      <c r="AW105" s="27">
        <f t="shared" si="27"/>
        <v>151.074501108647</v>
      </c>
      <c r="AX105" s="27">
        <f t="shared" si="27"/>
        <v>152.726444444444</v>
      </c>
      <c r="AY105" s="16"/>
      <c r="AZ105" s="17">
        <f t="shared" si="27"/>
        <v>147.889411764706</v>
      </c>
      <c r="BA105" s="17">
        <f t="shared" si="27"/>
        <v>152.726444444444</v>
      </c>
      <c r="BB105" s="17">
        <f t="shared" si="27"/>
        <v>161.890031111111</v>
      </c>
    </row>
    <row r="106" ht="15" customHeight="1">
      <c r="B106" s="1" t="s">
        <v>104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27">
        <f t="shared" si="28" ref="N106:AX106">SUM(C12:N12)</f>
        <v>51252.5</v>
      </c>
      <c r="O106" s="27">
        <f t="shared" si="28"/>
        <v>51694.9</v>
      </c>
      <c r="P106" s="27">
        <f t="shared" si="28"/>
        <v>52223.7</v>
      </c>
      <c r="Q106" s="27">
        <f t="shared" si="28"/>
        <v>52652.4</v>
      </c>
      <c r="R106" s="27">
        <f t="shared" si="28"/>
        <v>53131.7</v>
      </c>
      <c r="S106" s="27">
        <f t="shared" si="28"/>
        <v>53631.6</v>
      </c>
      <c r="T106" s="27">
        <f t="shared" si="28"/>
        <v>54240.8</v>
      </c>
      <c r="U106" s="27">
        <f t="shared" si="28"/>
        <v>54736.4</v>
      </c>
      <c r="V106" s="27">
        <f t="shared" si="28"/>
        <v>55145.2</v>
      </c>
      <c r="W106" s="27">
        <f t="shared" si="28"/>
        <v>55794.1</v>
      </c>
      <c r="X106" s="27">
        <f t="shared" si="28"/>
        <v>56274.2</v>
      </c>
      <c r="Y106" s="27">
        <f t="shared" si="28"/>
        <v>56959</v>
      </c>
      <c r="Z106" s="27">
        <f t="shared" si="28"/>
        <v>57480.1</v>
      </c>
      <c r="AA106" s="27">
        <f t="shared" si="28"/>
        <v>57921.1</v>
      </c>
      <c r="AB106" s="27">
        <f t="shared" si="28"/>
        <v>58279.3</v>
      </c>
      <c r="AC106" s="27">
        <f t="shared" si="28"/>
        <v>58818.8</v>
      </c>
      <c r="AD106" s="27">
        <f t="shared" si="28"/>
        <v>59406.2</v>
      </c>
      <c r="AE106" s="27">
        <f t="shared" si="28"/>
        <v>59836.7</v>
      </c>
      <c r="AF106" s="27">
        <f t="shared" si="28"/>
        <v>60281.8</v>
      </c>
      <c r="AG106" s="27">
        <f t="shared" si="28"/>
        <v>60749.6</v>
      </c>
      <c r="AH106" s="27">
        <f t="shared" si="28"/>
        <v>61167.3</v>
      </c>
      <c r="AI106" s="27">
        <f t="shared" si="28"/>
        <v>61594.5</v>
      </c>
      <c r="AJ106" s="27">
        <f t="shared" si="28"/>
        <v>62098.2</v>
      </c>
      <c r="AK106" s="27">
        <f t="shared" si="28"/>
        <v>62441.9</v>
      </c>
      <c r="AL106" s="27">
        <f t="shared" si="28"/>
        <v>62853</v>
      </c>
      <c r="AM106" s="27">
        <f t="shared" si="28"/>
        <v>63363.4</v>
      </c>
      <c r="AN106" s="27">
        <f t="shared" si="28"/>
        <v>63853</v>
      </c>
      <c r="AO106" s="27">
        <f t="shared" si="28"/>
        <v>64336.4</v>
      </c>
      <c r="AP106" s="27">
        <f t="shared" si="28"/>
        <v>64733</v>
      </c>
      <c r="AQ106" s="27">
        <f t="shared" si="28"/>
        <v>65250.4</v>
      </c>
      <c r="AR106" s="27">
        <f t="shared" si="28"/>
        <v>65693.3</v>
      </c>
      <c r="AS106" s="27">
        <f t="shared" si="28"/>
        <v>66127.4</v>
      </c>
      <c r="AT106" s="27">
        <f t="shared" si="28"/>
        <v>66570.6</v>
      </c>
      <c r="AU106" s="27">
        <f t="shared" si="28"/>
        <v>66982.6</v>
      </c>
      <c r="AV106" s="27">
        <f t="shared" si="28"/>
        <v>67553.1</v>
      </c>
      <c r="AW106" s="27">
        <f t="shared" si="28"/>
        <v>68134.6</v>
      </c>
      <c r="AX106" s="27">
        <f t="shared" si="28"/>
        <v>68726.9</v>
      </c>
      <c r="AY106" s="16"/>
      <c r="AZ106" s="17" cm="1">
        <f t="array" ref="AZ106">AZ12</f>
        <v>62853</v>
      </c>
      <c r="BA106" s="17" cm="1">
        <f t="array" ref="BA106">BA12</f>
        <v>68726.9</v>
      </c>
      <c r="BB106" s="17" cm="1">
        <f t="array" ref="BB106">BB12</f>
        <v>72850.514</v>
      </c>
    </row>
    <row r="107" ht="15" customHeight="1">
      <c r="B107" s="1" t="s">
        <v>105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27">
        <f t="shared" si="29" ref="N107:AX107">SUM(C31:N31)</f>
        <v>14738.9</v>
      </c>
      <c r="O107" s="27">
        <f t="shared" si="29"/>
        <v>14848</v>
      </c>
      <c r="P107" s="27">
        <f t="shared" si="29"/>
        <v>15119.5</v>
      </c>
      <c r="Q107" s="27">
        <f t="shared" si="29"/>
        <v>15205.4</v>
      </c>
      <c r="R107" s="27">
        <f t="shared" si="29"/>
        <v>15045.7</v>
      </c>
      <c r="S107" s="27">
        <f t="shared" si="29"/>
        <v>14931.6</v>
      </c>
      <c r="T107" s="27">
        <f t="shared" si="29"/>
        <v>14997.7</v>
      </c>
      <c r="U107" s="27">
        <f t="shared" si="29"/>
        <v>14959.8</v>
      </c>
      <c r="V107" s="27">
        <f t="shared" si="29"/>
        <v>15178.7</v>
      </c>
      <c r="W107" s="27">
        <f t="shared" si="29"/>
        <v>15303.9</v>
      </c>
      <c r="X107" s="27">
        <f t="shared" si="29"/>
        <v>15431.9</v>
      </c>
      <c r="Y107" s="27">
        <f t="shared" si="29"/>
        <v>15551.1</v>
      </c>
      <c r="Z107" s="27">
        <f t="shared" si="29"/>
        <v>15691.4</v>
      </c>
      <c r="AA107" s="27">
        <f t="shared" si="29"/>
        <v>15924.7</v>
      </c>
      <c r="AB107" s="27">
        <f t="shared" si="29"/>
        <v>16342.6</v>
      </c>
      <c r="AC107" s="27">
        <f t="shared" si="29"/>
        <v>17000.2</v>
      </c>
      <c r="AD107" s="27">
        <f t="shared" si="29"/>
        <v>17317.6</v>
      </c>
      <c r="AE107" s="27">
        <f t="shared" si="29"/>
        <v>17806.5</v>
      </c>
      <c r="AF107" s="27">
        <f t="shared" si="29"/>
        <v>18061.9</v>
      </c>
      <c r="AG107" s="27">
        <f t="shared" si="29"/>
        <v>18207.3</v>
      </c>
      <c r="AH107" s="27">
        <f t="shared" si="29"/>
        <v>18369.6</v>
      </c>
      <c r="AI107" s="27">
        <f t="shared" si="29"/>
        <v>18656.2</v>
      </c>
      <c r="AJ107" s="27">
        <f t="shared" si="29"/>
        <v>19039.5</v>
      </c>
      <c r="AK107" s="27">
        <f t="shared" si="29"/>
        <v>19467.3</v>
      </c>
      <c r="AL107" s="27">
        <f t="shared" si="29"/>
        <v>19865.8</v>
      </c>
      <c r="AM107" s="27">
        <f t="shared" si="29"/>
        <v>20281.1</v>
      </c>
      <c r="AN107" s="27">
        <f t="shared" si="29"/>
        <v>20305.7</v>
      </c>
      <c r="AO107" s="27">
        <f t="shared" si="29"/>
        <v>20218.3</v>
      </c>
      <c r="AP107" s="27">
        <f t="shared" si="29"/>
        <v>20055.5</v>
      </c>
      <c r="AQ107" s="27">
        <f t="shared" si="29"/>
        <v>19796.5</v>
      </c>
      <c r="AR107" s="27">
        <f t="shared" si="29"/>
        <v>19969.5</v>
      </c>
      <c r="AS107" s="27">
        <f t="shared" si="29"/>
        <v>20215.9</v>
      </c>
      <c r="AT107" s="27">
        <f t="shared" si="29"/>
        <v>20351.8</v>
      </c>
      <c r="AU107" s="27">
        <f t="shared" si="29"/>
        <v>20496.8</v>
      </c>
      <c r="AV107" s="27">
        <f t="shared" si="29"/>
        <v>20738.5</v>
      </c>
      <c r="AW107" s="27">
        <f t="shared" si="29"/>
        <v>20819.4</v>
      </c>
      <c r="AX107" s="27">
        <f t="shared" si="29"/>
        <v>20883.7</v>
      </c>
      <c r="AY107" s="16"/>
      <c r="AZ107" s="17" cm="1">
        <f t="array" ref="AZ107">AZ31</f>
        <v>19865.8</v>
      </c>
      <c r="BA107" s="17" cm="1">
        <f t="array" ref="BA107">BA31</f>
        <v>20883.7</v>
      </c>
      <c r="BB107" s="17" cm="1">
        <f t="array" ref="BB107">BB31</f>
        <v>22136.722</v>
      </c>
    </row>
    <row r="108" ht="15" customHeight="1">
      <c r="B108" s="1" t="s">
        <v>106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9">
        <f t="shared" si="30" ref="N108:BB108">_xlfn.IFERROR(N91/N107,0)</f>
        <v>4.99205503802862</v>
      </c>
      <c r="O108" s="39">
        <f t="shared" si="30"/>
        <v>4.90137392241379</v>
      </c>
      <c r="P108" s="39">
        <f t="shared" si="30"/>
        <v>4.75295479347862</v>
      </c>
      <c r="Q108" s="39">
        <f t="shared" si="30"/>
        <v>4.80760782353638</v>
      </c>
      <c r="R108" s="39">
        <f t="shared" si="30"/>
        <v>4.79876642495863</v>
      </c>
      <c r="S108" s="39">
        <f t="shared" si="30"/>
        <v>4.80238554475073</v>
      </c>
      <c r="T108" s="39">
        <f t="shared" si="30"/>
        <v>4.85819158937704</v>
      </c>
      <c r="U108" s="39">
        <f t="shared" si="30"/>
        <v>4.8232730384096</v>
      </c>
      <c r="V108" s="39">
        <f t="shared" si="30"/>
        <v>5.25256444886585</v>
      </c>
      <c r="W108" s="39">
        <f t="shared" si="30"/>
        <v>5.240030319069</v>
      </c>
      <c r="X108" s="39">
        <f t="shared" si="30"/>
        <v>5.1616780824137</v>
      </c>
      <c r="Y108" s="39">
        <f t="shared" si="30"/>
        <v>4.95485849875571</v>
      </c>
      <c r="Z108" s="39">
        <f t="shared" si="30"/>
        <v>4.95687446626815</v>
      </c>
      <c r="AA108" s="39">
        <f t="shared" si="30"/>
        <v>4.77909159984176</v>
      </c>
      <c r="AB108" s="39">
        <f t="shared" si="30"/>
        <v>4.60902793925079</v>
      </c>
      <c r="AC108" s="39">
        <f t="shared" si="30"/>
        <v>4.52965847460618</v>
      </c>
      <c r="AD108" s="39">
        <f t="shared" si="30"/>
        <v>4.41548482468702</v>
      </c>
      <c r="AE108" s="39">
        <f t="shared" si="30"/>
        <v>4.20560469491478</v>
      </c>
      <c r="AF108" s="39">
        <f t="shared" si="30"/>
        <v>4.22824841240401</v>
      </c>
      <c r="AG108" s="39">
        <f t="shared" si="30"/>
        <v>4.11970473381556</v>
      </c>
      <c r="AH108" s="39">
        <f t="shared" si="30"/>
        <v>4.23217707516767</v>
      </c>
      <c r="AI108" s="39">
        <f t="shared" si="30"/>
        <v>4.22825655814153</v>
      </c>
      <c r="AJ108" s="39">
        <f t="shared" si="30"/>
        <v>3.96840253157909</v>
      </c>
      <c r="AK108" s="39">
        <f t="shared" si="30"/>
        <v>3.81640494572951</v>
      </c>
      <c r="AL108" s="39">
        <f t="shared" si="30"/>
        <v>3.76791772795458</v>
      </c>
      <c r="AM108" s="39">
        <f t="shared" si="30"/>
        <v>3.63392025087397</v>
      </c>
      <c r="AN108" s="39">
        <f t="shared" si="30"/>
        <v>3.55029375988023</v>
      </c>
      <c r="AO108" s="39">
        <f t="shared" si="30"/>
        <v>3.60259764668642</v>
      </c>
      <c r="AP108" s="39">
        <f t="shared" si="30"/>
        <v>3.57926254643365</v>
      </c>
      <c r="AQ108" s="39">
        <f t="shared" si="30"/>
        <v>3.52607784204279</v>
      </c>
      <c r="AR108" s="39">
        <f t="shared" si="30"/>
        <v>3.5679361025564</v>
      </c>
      <c r="AS108" s="39">
        <f t="shared" si="30"/>
        <v>3.48217492172003</v>
      </c>
      <c r="AT108" s="39">
        <f t="shared" si="30"/>
        <v>3.41561434369441</v>
      </c>
      <c r="AU108" s="39">
        <f t="shared" si="30"/>
        <v>3.45627122282503</v>
      </c>
      <c r="AV108" s="39">
        <f t="shared" si="30"/>
        <v>3.33938327265714</v>
      </c>
      <c r="AW108" s="39">
        <f t="shared" si="30"/>
        <v>3.26195279402865</v>
      </c>
      <c r="AX108" s="39">
        <f t="shared" si="30"/>
        <v>3.32246680425403</v>
      </c>
      <c r="AY108" s="38"/>
      <c r="AZ108" s="40">
        <f t="shared" si="30"/>
        <v>3.65606721098571</v>
      </c>
      <c r="BA108" s="40">
        <f t="shared" si="30"/>
        <v>3.04962243280645</v>
      </c>
      <c r="BB108" s="40">
        <f t="shared" si="30"/>
        <v>2.69177170856643</v>
      </c>
    </row>
    <row r="109" ht="15" customHeight="1">
      <c r="B109" s="1" t="s">
        <v>107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9">
        <f t="shared" si="31" ref="N109:AX109">_xlfn.IFERROR(N107/-SUM(C35:N35),0)</f>
        <v>2.78512849584278</v>
      </c>
      <c r="O109" s="39">
        <f t="shared" si="31"/>
        <v>2.79307750188111</v>
      </c>
      <c r="P109" s="39">
        <f t="shared" si="31"/>
        <v>2.8313670411985</v>
      </c>
      <c r="Q109" s="39">
        <f t="shared" si="31"/>
        <v>2.83471290082028</v>
      </c>
      <c r="R109" s="39">
        <f t="shared" si="31"/>
        <v>2.79244617668894</v>
      </c>
      <c r="S109" s="39">
        <f t="shared" si="31"/>
        <v>2.7589800443459</v>
      </c>
      <c r="T109" s="39">
        <f t="shared" si="31"/>
        <v>2.75895879323032</v>
      </c>
      <c r="U109" s="39">
        <f t="shared" si="31"/>
        <v>2.73989010989011</v>
      </c>
      <c r="V109" s="39">
        <f t="shared" si="31"/>
        <v>2.76781546316557</v>
      </c>
      <c r="W109" s="39">
        <f t="shared" si="31"/>
        <v>2.77848583877996</v>
      </c>
      <c r="X109" s="39">
        <f t="shared" si="31"/>
        <v>2.7895697758496</v>
      </c>
      <c r="Y109" s="39">
        <f t="shared" si="31"/>
        <v>2.79897408207343</v>
      </c>
      <c r="Z109" s="39">
        <f t="shared" si="31"/>
        <v>2.81207885304659</v>
      </c>
      <c r="AA109" s="39">
        <f t="shared" si="31"/>
        <v>2.84166666666667</v>
      </c>
      <c r="AB109" s="39">
        <f t="shared" si="31"/>
        <v>2.90380241648898</v>
      </c>
      <c r="AC109" s="39">
        <f t="shared" si="31"/>
        <v>3.00782024062279</v>
      </c>
      <c r="AD109" s="39">
        <f t="shared" si="31"/>
        <v>3.05102184637068</v>
      </c>
      <c r="AE109" s="39">
        <f t="shared" si="31"/>
        <v>3.12394736842105</v>
      </c>
      <c r="AF109" s="39">
        <f t="shared" si="31"/>
        <v>3.15546820405311</v>
      </c>
      <c r="AG109" s="39">
        <f t="shared" si="31"/>
        <v>3.16758872651357</v>
      </c>
      <c r="AH109" s="39">
        <f t="shared" si="31"/>
        <v>3.18253638253638</v>
      </c>
      <c r="AI109" s="39">
        <f t="shared" si="31"/>
        <v>3.2188060731539</v>
      </c>
      <c r="AJ109" s="39">
        <f t="shared" si="31"/>
        <v>3.27139175257732</v>
      </c>
      <c r="AK109" s="39">
        <f t="shared" si="31"/>
        <v>3.33116016427105</v>
      </c>
      <c r="AL109" s="39">
        <f t="shared" si="31"/>
        <v>3.38544648943422</v>
      </c>
      <c r="AM109" s="39">
        <f t="shared" si="31"/>
        <v>3.44214188730482</v>
      </c>
      <c r="AN109" s="39">
        <f t="shared" si="31"/>
        <v>3.43233603786342</v>
      </c>
      <c r="AO109" s="39">
        <f t="shared" si="31"/>
        <v>3.40375420875421</v>
      </c>
      <c r="AP109" s="39">
        <f t="shared" si="31"/>
        <v>3.36275989268947</v>
      </c>
      <c r="AQ109" s="39">
        <f t="shared" si="31"/>
        <v>3.3060287241149</v>
      </c>
      <c r="AR109" s="39">
        <f t="shared" si="31"/>
        <v>3.32160678642715</v>
      </c>
      <c r="AS109" s="39">
        <f t="shared" si="31"/>
        <v>3.34922133863486</v>
      </c>
      <c r="AT109" s="39">
        <f t="shared" si="31"/>
        <v>3.35838283828383</v>
      </c>
      <c r="AU109" s="39">
        <f t="shared" si="31"/>
        <v>3.3689677843524</v>
      </c>
      <c r="AV109" s="39">
        <f t="shared" si="31"/>
        <v>3.39530124426981</v>
      </c>
      <c r="AW109" s="39">
        <f t="shared" si="31"/>
        <v>3.39520547945206</v>
      </c>
      <c r="AX109" s="39">
        <f t="shared" si="31"/>
        <v>3.3924139051332</v>
      </c>
      <c r="AY109" s="38"/>
      <c r="AZ109" s="40">
        <f t="shared" si="32" ref="AZ109:BB109">_xlfn.IFERROR(AZ107/-AZ35,0)</f>
        <v>3.38544648943422</v>
      </c>
      <c r="BA109" s="40">
        <f t="shared" si="32"/>
        <v>3.3924139051332</v>
      </c>
      <c r="BB109" s="40">
        <f t="shared" si="32"/>
        <v>3.3924139051332</v>
      </c>
    </row>
    <row r="110" ht="15" customHeight="1">
      <c r="B110" s="1" t="s">
        <v>108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1">
        <f t="shared" si="33" ref="N110:AX110">_xlfn.IFERROR(SUM(C51:N51)/N107,0)</f>
        <v>0.308849371391352</v>
      </c>
      <c r="O110" s="41">
        <f t="shared" si="33"/>
        <v>0.329229525862069</v>
      </c>
      <c r="P110" s="41">
        <f t="shared" si="33"/>
        <v>0.373391977247925</v>
      </c>
      <c r="Q110" s="41">
        <f t="shared" si="33"/>
        <v>0.397694240204138</v>
      </c>
      <c r="R110" s="41">
        <f t="shared" si="33"/>
        <v>0.397302883880444</v>
      </c>
      <c r="S110" s="41">
        <f t="shared" si="33"/>
        <v>0.398229258753248</v>
      </c>
      <c r="T110" s="41">
        <f t="shared" si="33"/>
        <v>0.415603725904639</v>
      </c>
      <c r="U110" s="41">
        <f t="shared" si="33"/>
        <v>0.449056805572267</v>
      </c>
      <c r="V110" s="41">
        <f t="shared" si="33"/>
        <v>0.511954251681633</v>
      </c>
      <c r="W110" s="41">
        <f t="shared" si="33"/>
        <v>0.553185789243265</v>
      </c>
      <c r="X110" s="41">
        <f t="shared" si="33"/>
        <v>0.509924247824312</v>
      </c>
      <c r="Y110" s="41">
        <f t="shared" si="33"/>
        <v>0.502986926969796</v>
      </c>
      <c r="Z110" s="41">
        <f t="shared" si="33"/>
        <v>0.518360375747225</v>
      </c>
      <c r="AA110" s="41">
        <f t="shared" si="33"/>
        <v>0.569053106180964</v>
      </c>
      <c r="AB110" s="41">
        <f t="shared" si="33"/>
        <v>0.540954315714758</v>
      </c>
      <c r="AC110" s="41">
        <f t="shared" si="33"/>
        <v>0.4995647110034</v>
      </c>
      <c r="AD110" s="41">
        <f t="shared" si="33"/>
        <v>0.479962581420058</v>
      </c>
      <c r="AE110" s="41">
        <f t="shared" si="33"/>
        <v>0.526931176817454</v>
      </c>
      <c r="AF110" s="41">
        <f t="shared" si="33"/>
        <v>0.50953664896827</v>
      </c>
      <c r="AG110" s="41">
        <f t="shared" si="33"/>
        <v>0.542535137005487</v>
      </c>
      <c r="AH110" s="41">
        <f t="shared" si="33"/>
        <v>0.503897744098946</v>
      </c>
      <c r="AI110" s="41">
        <f t="shared" si="33"/>
        <v>0.472464917828925</v>
      </c>
      <c r="AJ110" s="41">
        <f t="shared" si="33"/>
        <v>0.532067543790541</v>
      </c>
      <c r="AK110" s="41">
        <f t="shared" si="33"/>
        <v>0.519979658196052</v>
      </c>
      <c r="AL110" s="41">
        <f t="shared" si="33"/>
        <v>0.52231976562736</v>
      </c>
      <c r="AM110" s="41">
        <f t="shared" si="33"/>
        <v>0.485866151244262</v>
      </c>
      <c r="AN110" s="41">
        <f t="shared" si="33"/>
        <v>0.525010218805557</v>
      </c>
      <c r="AO110" s="41">
        <f t="shared" si="33"/>
        <v>0.579682762645722</v>
      </c>
      <c r="AP110" s="41">
        <f t="shared" si="33"/>
        <v>0.607573982199397</v>
      </c>
      <c r="AQ110" s="41">
        <f t="shared" si="33"/>
        <v>0.630682191296441</v>
      </c>
      <c r="AR110" s="41">
        <f t="shared" si="33"/>
        <v>0.625709206539974</v>
      </c>
      <c r="AS110" s="41">
        <f t="shared" si="33"/>
        <v>0.59430942970632</v>
      </c>
      <c r="AT110" s="41">
        <f t="shared" si="33"/>
        <v>0.591190951168938</v>
      </c>
      <c r="AU110" s="41">
        <f t="shared" si="33"/>
        <v>0.582534834705905</v>
      </c>
      <c r="AV110" s="41">
        <f t="shared" si="33"/>
        <v>0.563931817633869</v>
      </c>
      <c r="AW110" s="41">
        <f t="shared" si="33"/>
        <v>0.573133711826469</v>
      </c>
      <c r="AX110" s="41">
        <f t="shared" si="33"/>
        <v>0.532487059285472</v>
      </c>
      <c r="AY110" s="35"/>
      <c r="AZ110" s="36">
        <f t="shared" si="34" ref="AZ110:BB110">_xlfn.IFERROR(AZ51/AZ107,0)</f>
        <v>0.52231976562736</v>
      </c>
      <c r="BA110" s="36">
        <f t="shared" si="34"/>
        <v>0.532487059285471</v>
      </c>
      <c r="BB110" s="36">
        <f t="shared" si="34"/>
        <v>0.532487059285471</v>
      </c>
    </row>
    <row r="111" ht="15" customHeight="1">
      <c r="B111" s="1" t="s">
        <v>109</v>
      </c>
      <c r="C111" s="41">
        <f t="shared" si="35" ref="C111:BB111">_xlfn.IFERROR(-C49/C12,0)</f>
        <v>0.0105541588099728</v>
      </c>
      <c r="D111" s="41">
        <f t="shared" si="35"/>
        <v>0.0624098867147271</v>
      </c>
      <c r="E111" s="41">
        <f t="shared" si="35"/>
        <v>0.0103693214261243</v>
      </c>
      <c r="F111" s="41">
        <f t="shared" si="35"/>
        <v>0.0113789453425712</v>
      </c>
      <c r="G111" s="41">
        <f t="shared" si="35"/>
        <v>0.0103687966191719</v>
      </c>
      <c r="H111" s="41">
        <f t="shared" si="35"/>
        <v>0.0603815439219166</v>
      </c>
      <c r="I111" s="41">
        <f t="shared" si="35"/>
        <v>0.0110290371879776</v>
      </c>
      <c r="J111" s="41">
        <f t="shared" si="35"/>
        <v>0.0122886662492173</v>
      </c>
      <c r="K111" s="41">
        <f t="shared" si="35"/>
        <v>0.0135466900482245</v>
      </c>
      <c r="L111" s="41">
        <f t="shared" si="35"/>
        <v>0.0659333752357008</v>
      </c>
      <c r="M111" s="41">
        <f t="shared" si="35"/>
        <v>0.0116614366890001</v>
      </c>
      <c r="N111" s="41">
        <f t="shared" si="35"/>
        <v>0.0116569334707432</v>
      </c>
      <c r="O111" s="41">
        <f t="shared" si="35"/>
        <v>0.0120869320315434</v>
      </c>
      <c r="P111" s="41">
        <f t="shared" si="35"/>
        <v>0.0552257070340827</v>
      </c>
      <c r="Q111" s="41">
        <f t="shared" si="35"/>
        <v>0.0113584356147285</v>
      </c>
      <c r="R111" s="41">
        <f t="shared" si="35"/>
        <v>0.0102456806367421</v>
      </c>
      <c r="S111" s="41">
        <f t="shared" si="35"/>
        <v>0.0111175520682373</v>
      </c>
      <c r="T111" s="41">
        <f t="shared" si="35"/>
        <v>0.0604236691940905</v>
      </c>
      <c r="U111" s="41">
        <f t="shared" si="35"/>
        <v>0.0104939388456667</v>
      </c>
      <c r="V111" s="41">
        <f t="shared" si="35"/>
        <v>0.0120237646171256</v>
      </c>
      <c r="W111" s="41">
        <f t="shared" si="35"/>
        <v>0.012512233971099</v>
      </c>
      <c r="X111" s="41">
        <f t="shared" si="35"/>
        <v>0.0446403076278769</v>
      </c>
      <c r="Y111" s="41">
        <f t="shared" si="35"/>
        <v>0.0108679552691994</v>
      </c>
      <c r="Z111" s="41">
        <f t="shared" si="35"/>
        <v>0.01108928717571</v>
      </c>
      <c r="AA111" s="41">
        <f t="shared" si="35"/>
        <v>0.0109957888468246</v>
      </c>
      <c r="AB111" s="41">
        <f t="shared" si="35"/>
        <v>0.0650597359044225</v>
      </c>
      <c r="AC111" s="41">
        <f t="shared" si="35"/>
        <v>0.0117834097072851</v>
      </c>
      <c r="AD111" s="41">
        <f t="shared" si="35"/>
        <v>0.0138221498994927</v>
      </c>
      <c r="AE111" s="41">
        <f t="shared" si="35"/>
        <v>0.013401258387667</v>
      </c>
      <c r="AF111" s="41">
        <f t="shared" si="35"/>
        <v>0.0504647358107258</v>
      </c>
      <c r="AG111" s="41">
        <f t="shared" si="35"/>
        <v>0.0100830367734282</v>
      </c>
      <c r="AH111" s="41">
        <f t="shared" si="35"/>
        <v>0.0101302770802481</v>
      </c>
      <c r="AI111" s="41">
        <f t="shared" si="35"/>
        <v>0.0128412053706036</v>
      </c>
      <c r="AJ111" s="41">
        <f t="shared" si="35"/>
        <v>0.0711853807670928</v>
      </c>
      <c r="AK111" s="41">
        <f t="shared" si="35"/>
        <v>0.0118888057233372</v>
      </c>
      <c r="AL111" s="41">
        <f t="shared" si="35"/>
        <v>0.0123426500839829</v>
      </c>
      <c r="AM111" s="41">
        <f t="shared" si="35"/>
        <v>0.00999577913357124</v>
      </c>
      <c r="AN111" s="41">
        <f t="shared" si="35"/>
        <v>0.060924609360149</v>
      </c>
      <c r="AO111" s="41">
        <f t="shared" si="35"/>
        <v>0.0137052093517899</v>
      </c>
      <c r="AP111" s="41">
        <f t="shared" si="35"/>
        <v>0.0133093717193644</v>
      </c>
      <c r="AQ111" s="41">
        <f t="shared" si="35"/>
        <v>0.0134300202488707</v>
      </c>
      <c r="AR111" s="41">
        <f t="shared" si="35"/>
        <v>0.0530040631452741</v>
      </c>
      <c r="AS111" s="41">
        <f t="shared" si="35"/>
        <v>0.010989010989011</v>
      </c>
      <c r="AT111" s="41">
        <f t="shared" si="35"/>
        <v>0.0104458598726115</v>
      </c>
      <c r="AU111" s="41">
        <f t="shared" si="35"/>
        <v>0.0106113948529776</v>
      </c>
      <c r="AV111" s="41">
        <f t="shared" si="35"/>
        <v>0.0459279629541827</v>
      </c>
      <c r="AW111" s="41">
        <f t="shared" si="35"/>
        <v>0.0127244562468386</v>
      </c>
      <c r="AX111" s="41">
        <f t="shared" si="35"/>
        <v>0.0137667628585979</v>
      </c>
      <c r="AY111" s="35"/>
      <c r="AZ111" s="36">
        <f t="shared" si="35"/>
        <v>0.0248341367953797</v>
      </c>
      <c r="BA111" s="36">
        <f t="shared" si="35"/>
        <v>0.0225734028451742</v>
      </c>
      <c r="BB111" s="36">
        <f t="shared" si="35"/>
        <v>0.0225734028451742</v>
      </c>
    </row>
    <row r="112" ht="15" customHeight="1">
      <c r="B112" s="1" t="s">
        <v>110</v>
      </c>
      <c r="C112" s="27">
        <f t="shared" si="36" ref="C112:AX112">_xlfn.IFERROR(C69/(C12*12)*365,0)</f>
        <v>54.9999672637754</v>
      </c>
      <c r="D112" s="27">
        <f t="shared" si="36"/>
        <v>54.999817627875</v>
      </c>
      <c r="E112" s="27">
        <f t="shared" si="36"/>
        <v>54.999819184006</v>
      </c>
      <c r="F112" s="27">
        <f t="shared" si="36"/>
        <v>54.9999599050552</v>
      </c>
      <c r="G112" s="27">
        <f t="shared" si="36"/>
        <v>54.9997786912377</v>
      </c>
      <c r="H112" s="27">
        <f t="shared" si="36"/>
        <v>55.0003234989648</v>
      </c>
      <c r="I112" s="27">
        <f t="shared" si="36"/>
        <v>55.0002440991679</v>
      </c>
      <c r="J112" s="27">
        <f t="shared" si="36"/>
        <v>54.9996629965908</v>
      </c>
      <c r="K112" s="27">
        <f t="shared" si="36"/>
        <v>55.000027400263</v>
      </c>
      <c r="L112" s="27">
        <f t="shared" si="36"/>
        <v>54.9998079474824</v>
      </c>
      <c r="M112" s="27">
        <f t="shared" si="36"/>
        <v>55.0000971786391</v>
      </c>
      <c r="N112" s="27">
        <f t="shared" si="36"/>
        <v>55.0000763387916</v>
      </c>
      <c r="O112" s="27">
        <f t="shared" si="36"/>
        <v>55.0002835930655</v>
      </c>
      <c r="P112" s="27">
        <f t="shared" si="36"/>
        <v>54.9999339043993</v>
      </c>
      <c r="Q112" s="27">
        <f t="shared" si="36"/>
        <v>54.9999393245961</v>
      </c>
      <c r="R112" s="27">
        <f t="shared" si="36"/>
        <v>55.0000988618307</v>
      </c>
      <c r="S112" s="27">
        <f t="shared" si="36"/>
        <v>55.0002501621741</v>
      </c>
      <c r="T112" s="27">
        <f t="shared" si="36"/>
        <v>54.9998860053675</v>
      </c>
      <c r="U112" s="27">
        <f t="shared" si="36"/>
        <v>54.9998492250166</v>
      </c>
      <c r="V112" s="27">
        <f t="shared" si="36"/>
        <v>54.9996954765497</v>
      </c>
      <c r="W112" s="27">
        <f t="shared" si="36"/>
        <v>54.9997121418565</v>
      </c>
      <c r="X112" s="27">
        <f t="shared" si="36"/>
        <v>55.0002538183802</v>
      </c>
      <c r="Y112" s="27">
        <f t="shared" si="36"/>
        <v>55.0002622873929</v>
      </c>
      <c r="Z112" s="27">
        <f t="shared" si="36"/>
        <v>55.0002983741168</v>
      </c>
      <c r="AA112" s="27">
        <f t="shared" si="36"/>
        <v>55.0000974803976</v>
      </c>
      <c r="AB112" s="27">
        <f t="shared" si="36"/>
        <v>54.9999126668064</v>
      </c>
      <c r="AC112" s="27">
        <f t="shared" si="36"/>
        <v>54.9997506156676</v>
      </c>
      <c r="AD112" s="27">
        <f t="shared" si="36"/>
        <v>54.9998085574806</v>
      </c>
      <c r="AE112" s="27">
        <f t="shared" si="36"/>
        <v>55.0000079203655</v>
      </c>
      <c r="AF112" s="27">
        <f t="shared" si="36"/>
        <v>55.0002322180872</v>
      </c>
      <c r="AG112" s="27">
        <f t="shared" si="36"/>
        <v>54.9999573908182</v>
      </c>
      <c r="AH112" s="27">
        <f t="shared" si="36"/>
        <v>54.9997674901094</v>
      </c>
      <c r="AI112" s="27">
        <f t="shared" si="36"/>
        <v>54.9998891470531</v>
      </c>
      <c r="AJ112" s="27">
        <f t="shared" si="36"/>
        <v>55.0002316101538</v>
      </c>
      <c r="AK112" s="27">
        <f t="shared" si="36"/>
        <v>54.9997969213273</v>
      </c>
      <c r="AL112" s="27">
        <f t="shared" si="36"/>
        <v>54.9999370914879</v>
      </c>
      <c r="AM112" s="27">
        <f t="shared" si="36"/>
        <v>55</v>
      </c>
      <c r="AN112" s="27">
        <f t="shared" si="36"/>
        <v>54.9998970332915</v>
      </c>
      <c r="AO112" s="27">
        <f t="shared" si="36"/>
        <v>54.9998070292801</v>
      </c>
      <c r="AP112" s="27">
        <f t="shared" si="36"/>
        <v>55.0001482773142</v>
      </c>
      <c r="AQ112" s="27">
        <f t="shared" si="36"/>
        <v>55.0001514338623</v>
      </c>
      <c r="AR112" s="27">
        <f t="shared" si="36"/>
        <v>54.9999098003952</v>
      </c>
      <c r="AS112" s="27">
        <f t="shared" si="36"/>
        <v>55.0002582887198</v>
      </c>
      <c r="AT112" s="27">
        <f t="shared" si="36"/>
        <v>54.9997713539115</v>
      </c>
      <c r="AU112" s="27">
        <f t="shared" si="36"/>
        <v>54.9999655653074</v>
      </c>
      <c r="AV112" s="27">
        <f t="shared" si="36"/>
        <v>54.9997826877183</v>
      </c>
      <c r="AW112" s="27">
        <f t="shared" si="36"/>
        <v>54.9999143799528</v>
      </c>
      <c r="AX112" s="27">
        <f t="shared" si="36"/>
        <v>54.9999009788944</v>
      </c>
      <c r="AY112" s="16"/>
      <c r="AZ112" s="17">
        <f t="shared" si="37" ref="AZ112:BB112">_xlfn.IFERROR(AZ69/AZ12*365,0)</f>
        <v>55.6399535423926</v>
      </c>
      <c r="BA112" s="17">
        <f t="shared" si="37"/>
        <v>56.572506544017</v>
      </c>
      <c r="BB112" s="17">
        <f t="shared" si="37"/>
        <v>53.3702891924688</v>
      </c>
    </row>
    <row r="113" ht="15" customHeight="1">
      <c r="B113" s="1" t="s">
        <v>111</v>
      </c>
      <c r="C113" s="27">
        <f t="shared" si="38" ref="C113:AX113">_xlfn.IFERROR(-C70/(-C13*12)*365,0)</f>
        <v>47.9998950131234</v>
      </c>
      <c r="D113" s="27">
        <f t="shared" si="38"/>
        <v>48.0780742644276</v>
      </c>
      <c r="E113" s="27">
        <f t="shared" si="38"/>
        <v>48.1550354834733</v>
      </c>
      <c r="F113" s="27">
        <f t="shared" si="38"/>
        <v>48.2328866851622</v>
      </c>
      <c r="G113" s="27">
        <f t="shared" si="38"/>
        <v>48.3103438509035</v>
      </c>
      <c r="H113" s="27">
        <f t="shared" si="38"/>
        <v>48.3889507111063</v>
      </c>
      <c r="I113" s="27">
        <f t="shared" si="38"/>
        <v>48.4635091552226</v>
      </c>
      <c r="J113" s="27">
        <f t="shared" si="38"/>
        <v>48.5442348008386</v>
      </c>
      <c r="K113" s="27">
        <f t="shared" si="38"/>
        <v>48.6235224586288</v>
      </c>
      <c r="L113" s="27">
        <f t="shared" si="38"/>
        <v>48.7014321508864</v>
      </c>
      <c r="M113" s="27">
        <f t="shared" si="38"/>
        <v>48.7805613176604</v>
      </c>
      <c r="N113" s="27">
        <f t="shared" si="38"/>
        <v>48.8599123492631</v>
      </c>
      <c r="O113" s="27">
        <f t="shared" si="38"/>
        <v>48.9381565830841</v>
      </c>
      <c r="P113" s="27">
        <f t="shared" si="38"/>
        <v>49.0186226121927</v>
      </c>
      <c r="Q113" s="27">
        <f t="shared" si="38"/>
        <v>49.1001668629761</v>
      </c>
      <c r="R113" s="27">
        <f t="shared" si="38"/>
        <v>49.1817430652892</v>
      </c>
      <c r="S113" s="27">
        <f t="shared" si="38"/>
        <v>49.2608898883218</v>
      </c>
      <c r="T113" s="27">
        <f t="shared" si="38"/>
        <v>49.343586459865</v>
      </c>
      <c r="U113" s="27">
        <f t="shared" si="38"/>
        <v>49.4241685832147</v>
      </c>
      <c r="V113" s="27">
        <f t="shared" si="38"/>
        <v>49.5037024855987</v>
      </c>
      <c r="W113" s="27">
        <f t="shared" si="38"/>
        <v>49.586564938045</v>
      </c>
      <c r="X113" s="27">
        <f t="shared" si="38"/>
        <v>49.6683411501441</v>
      </c>
      <c r="Y113" s="27">
        <f t="shared" si="38"/>
        <v>49.7519320339385</v>
      </c>
      <c r="Z113" s="27">
        <f t="shared" si="38"/>
        <v>49.8343485366216</v>
      </c>
      <c r="AA113" s="27">
        <f t="shared" si="38"/>
        <v>49.91535767353</v>
      </c>
      <c r="AB113" s="27">
        <f t="shared" si="38"/>
        <v>50.0000436345865</v>
      </c>
      <c r="AC113" s="27">
        <f t="shared" si="38"/>
        <v>50.0840068225655</v>
      </c>
      <c r="AD113" s="27">
        <f t="shared" si="38"/>
        <v>50.1676929973575</v>
      </c>
      <c r="AE113" s="27">
        <f t="shared" si="38"/>
        <v>50.251100513573</v>
      </c>
      <c r="AF113" s="27">
        <f t="shared" si="38"/>
        <v>50.3347228655242</v>
      </c>
      <c r="AG113" s="27">
        <f t="shared" si="38"/>
        <v>50.4195615455606</v>
      </c>
      <c r="AH113" s="27">
        <f t="shared" si="38"/>
        <v>50.5050734618916</v>
      </c>
      <c r="AI113" s="27">
        <f t="shared" si="38"/>
        <v>50.5908187002852</v>
      </c>
      <c r="AJ113" s="27">
        <f t="shared" si="38"/>
        <v>50.6766087806345</v>
      </c>
      <c r="AK113" s="27">
        <f t="shared" si="38"/>
        <v>50.7617267396936</v>
      </c>
      <c r="AL113" s="27">
        <f t="shared" si="38"/>
        <v>50.8463916687007</v>
      </c>
      <c r="AM113" s="27">
        <f t="shared" si="38"/>
        <v>50.934220592393</v>
      </c>
      <c r="AN113" s="27">
        <f t="shared" si="38"/>
        <v>51.0200276914108</v>
      </c>
      <c r="AO113" s="27">
        <f t="shared" si="38"/>
        <v>51.1065164881327</v>
      </c>
      <c r="AP113" s="27">
        <f t="shared" si="38"/>
        <v>51.1932684973303</v>
      </c>
      <c r="AQ113" s="27">
        <f t="shared" si="38"/>
        <v>51.2819687045124</v>
      </c>
      <c r="AR113" s="27">
        <f t="shared" si="38"/>
        <v>51.369164200325</v>
      </c>
      <c r="AS113" s="27">
        <f t="shared" si="38"/>
        <v>51.4575706545614</v>
      </c>
      <c r="AT113" s="27">
        <f t="shared" si="38"/>
        <v>51.5460720738977</v>
      </c>
      <c r="AU113" s="27">
        <f t="shared" si="38"/>
        <v>51.6362965971272</v>
      </c>
      <c r="AV113" s="27">
        <f t="shared" si="38"/>
        <v>51.7249378394522</v>
      </c>
      <c r="AW113" s="27">
        <f t="shared" si="38"/>
        <v>51.8128608611783</v>
      </c>
      <c r="AX113" s="27">
        <f t="shared" si="38"/>
        <v>51.9027390802657</v>
      </c>
      <c r="AY113" s="16"/>
      <c r="AZ113" s="17">
        <f t="shared" si="39" ref="AZ113:BB113">_xlfn.IFERROR(-AZ70/-AZ13*365,0)</f>
        <v>50.7598715069506</v>
      </c>
      <c r="BA113" s="17">
        <f t="shared" si="39"/>
        <v>55.0557137366266</v>
      </c>
      <c r="BB113" s="17">
        <f t="shared" si="39"/>
        <v>51.9393525817233</v>
      </c>
    </row>
    <row r="114" ht="15" customHeight="1">
      <c r="B114" s="1" t="s">
        <v>112</v>
      </c>
      <c r="C114" s="27">
        <f t="shared" si="40" ref="C114:AX114">_xlfn.IFERROR(C71/(-C13*12)*365,0)</f>
        <v>21.9996325459318</v>
      </c>
      <c r="D114" s="27">
        <f t="shared" si="40"/>
        <v>22.0349508954362</v>
      </c>
      <c r="E114" s="27">
        <f t="shared" si="40"/>
        <v>22.0705223026397</v>
      </c>
      <c r="F114" s="27">
        <f t="shared" si="40"/>
        <v>22.1073382130138</v>
      </c>
      <c r="G114" s="27">
        <f t="shared" si="40"/>
        <v>22.1426716894201</v>
      </c>
      <c r="H114" s="27">
        <f t="shared" si="40"/>
        <v>22.1776499113379</v>
      </c>
      <c r="I114" s="27">
        <f t="shared" si="40"/>
        <v>22.2125208073242</v>
      </c>
      <c r="J114" s="27">
        <f t="shared" si="40"/>
        <v>22.2481656184486</v>
      </c>
      <c r="K114" s="27">
        <f t="shared" si="40"/>
        <v>22.2847824183522</v>
      </c>
      <c r="L114" s="27">
        <f t="shared" si="40"/>
        <v>22.3219464895571</v>
      </c>
      <c r="M114" s="27">
        <f t="shared" si="40"/>
        <v>22.35829654451</v>
      </c>
      <c r="N114" s="27">
        <f t="shared" si="40"/>
        <v>22.3947632871818</v>
      </c>
      <c r="O114" s="27">
        <f t="shared" si="40"/>
        <v>22.429405337014</v>
      </c>
      <c r="P114" s="27">
        <f t="shared" si="40"/>
        <v>22.466799195686</v>
      </c>
      <c r="Q114" s="27">
        <f t="shared" si="40"/>
        <v>22.5034967608952</v>
      </c>
      <c r="R114" s="27">
        <f t="shared" si="40"/>
        <v>22.5420927858243</v>
      </c>
      <c r="S114" s="27">
        <f t="shared" si="40"/>
        <v>22.5777157343305</v>
      </c>
      <c r="T114" s="27">
        <f t="shared" si="40"/>
        <v>22.6159306866512</v>
      </c>
      <c r="U114" s="27">
        <f t="shared" si="40"/>
        <v>22.6534379220969</v>
      </c>
      <c r="V114" s="27">
        <f t="shared" si="40"/>
        <v>22.6901821842173</v>
      </c>
      <c r="W114" s="27">
        <f t="shared" si="40"/>
        <v>22.7266521340064</v>
      </c>
      <c r="X114" s="27">
        <f t="shared" si="40"/>
        <v>22.7649477346576</v>
      </c>
      <c r="Y114" s="27">
        <f t="shared" si="40"/>
        <v>22.8030252462323</v>
      </c>
      <c r="Z114" s="27">
        <f t="shared" si="40"/>
        <v>22.8414962280658</v>
      </c>
      <c r="AA114" s="27">
        <f t="shared" si="40"/>
        <v>22.8786793320597</v>
      </c>
      <c r="AB114" s="27">
        <f t="shared" si="40"/>
        <v>22.9168193877195</v>
      </c>
      <c r="AC114" s="27">
        <f t="shared" si="40"/>
        <v>22.9546849345639</v>
      </c>
      <c r="AD114" s="27">
        <f t="shared" si="40"/>
        <v>22.9933465458664</v>
      </c>
      <c r="AE114" s="27">
        <f t="shared" si="40"/>
        <v>23.0315684356403</v>
      </c>
      <c r="AF114" s="27">
        <f t="shared" si="40"/>
        <v>23.0696117029489</v>
      </c>
      <c r="AG114" s="27">
        <f t="shared" si="40"/>
        <v>23.1092305281304</v>
      </c>
      <c r="AH114" s="27">
        <f t="shared" si="40"/>
        <v>23.148507805326</v>
      </c>
      <c r="AI114" s="27">
        <f t="shared" si="40"/>
        <v>23.1870591325229</v>
      </c>
      <c r="AJ114" s="27">
        <f t="shared" si="40"/>
        <v>23.226150202977</v>
      </c>
      <c r="AK114" s="27">
        <f t="shared" si="40"/>
        <v>23.2663098647031</v>
      </c>
      <c r="AL114" s="27">
        <f t="shared" si="40"/>
        <v>23.3043487104385</v>
      </c>
      <c r="AM114" s="27">
        <f t="shared" si="40"/>
        <v>23.3447878727403</v>
      </c>
      <c r="AN114" s="27">
        <f t="shared" si="40"/>
        <v>23.3843640691799</v>
      </c>
      <c r="AO114" s="27">
        <f t="shared" si="40"/>
        <v>23.4237630149728</v>
      </c>
      <c r="AP114" s="27">
        <f t="shared" si="40"/>
        <v>23.4643622014903</v>
      </c>
      <c r="AQ114" s="27">
        <f t="shared" si="40"/>
        <v>23.5045123726346</v>
      </c>
      <c r="AR114" s="27">
        <f t="shared" si="40"/>
        <v>23.5445863799907</v>
      </c>
      <c r="AS114" s="27">
        <f t="shared" si="40"/>
        <v>23.5856478091798</v>
      </c>
      <c r="AT114" s="27">
        <f t="shared" si="40"/>
        <v>23.6257324754716</v>
      </c>
      <c r="AU114" s="27">
        <f t="shared" si="40"/>
        <v>23.6667984781122</v>
      </c>
      <c r="AV114" s="27">
        <f t="shared" si="40"/>
        <v>23.7064181633815</v>
      </c>
      <c r="AW114" s="27">
        <f t="shared" si="40"/>
        <v>23.7471593536539</v>
      </c>
      <c r="AX114" s="27">
        <f t="shared" si="40"/>
        <v>23.7883808960937</v>
      </c>
      <c r="AY114" s="16"/>
      <c r="AZ114" s="17">
        <f t="shared" si="41" ref="AZ114:BB114">_xlfn.IFERROR(AZ71/-AZ13*365,0)</f>
        <v>23.2646940573995</v>
      </c>
      <c r="BA114" s="17">
        <f t="shared" si="41"/>
        <v>25.233471529273</v>
      </c>
      <c r="BB114" s="17">
        <f t="shared" si="41"/>
        <v>23.8051618200689</v>
      </c>
    </row>
    <row r="115" ht="15" customHeight="1">
      <c r="B115" s="1" t="s">
        <v>113</v>
      </c>
      <c r="C115" s="39" cm="1">
        <f t="array" ref="C115">$C$121</f>
        <v>6</v>
      </c>
      <c r="D115" s="39" cm="1">
        <f t="array" ref="D115">$C$121</f>
        <v>6</v>
      </c>
      <c r="E115" s="39" cm="1">
        <f t="array" ref="E115">$C$121</f>
        <v>6</v>
      </c>
      <c r="F115" s="39" cm="1">
        <f t="array" ref="F115">$C$121</f>
        <v>6</v>
      </c>
      <c r="G115" s="39" cm="1">
        <f t="array" ref="G115">$C$121</f>
        <v>6</v>
      </c>
      <c r="H115" s="39" cm="1">
        <f t="array" ref="H115">$C$121</f>
        <v>6</v>
      </c>
      <c r="I115" s="39" cm="1">
        <f t="array" ref="I115">$C$121</f>
        <v>6</v>
      </c>
      <c r="J115" s="39" cm="1">
        <f t="array" ref="J115">$C$121</f>
        <v>6</v>
      </c>
      <c r="K115" s="39" cm="1">
        <f t="array" ref="K115">$C$121</f>
        <v>6</v>
      </c>
      <c r="L115" s="39" cm="1">
        <f t="array" ref="L115">$C$121</f>
        <v>6</v>
      </c>
      <c r="M115" s="39" cm="1">
        <f t="array" ref="M115">$C$121</f>
        <v>6</v>
      </c>
      <c r="N115" s="39" cm="1">
        <f t="array" ref="N115">$C$121</f>
        <v>6</v>
      </c>
      <c r="O115" s="39" cm="1">
        <f t="array" ref="O115">$C$121</f>
        <v>6</v>
      </c>
      <c r="P115" s="39" cm="1">
        <f t="array" ref="P115">$C$121</f>
        <v>6</v>
      </c>
      <c r="Q115" s="39" cm="1">
        <f t="array" ref="Q115">$C$121</f>
        <v>6</v>
      </c>
      <c r="R115" s="39" cm="1">
        <f t="array" ref="R115">$C$121</f>
        <v>6</v>
      </c>
      <c r="S115" s="39" cm="1">
        <f t="array" ref="S115">$C$121</f>
        <v>6</v>
      </c>
      <c r="T115" s="39" cm="1">
        <f t="array" ref="T115">$C$121</f>
        <v>6</v>
      </c>
      <c r="U115" s="39" cm="1">
        <f t="array" ref="U115">$C$121</f>
        <v>6</v>
      </c>
      <c r="V115" s="39" cm="1">
        <f t="array" ref="V115">$C$121</f>
        <v>6</v>
      </c>
      <c r="W115" s="39" cm="1">
        <f t="array" ref="W115">$C$121</f>
        <v>6</v>
      </c>
      <c r="X115" s="39" cm="1">
        <f t="array" ref="X115">$C$121</f>
        <v>6</v>
      </c>
      <c r="Y115" s="39" cm="1">
        <f t="array" ref="Y115">$C$121</f>
        <v>6</v>
      </c>
      <c r="Z115" s="39" cm="1">
        <f t="array" ref="Z115">$C$121</f>
        <v>6</v>
      </c>
      <c r="AA115" s="39" cm="1">
        <f t="array" ref="AA115">$C$121</f>
        <v>6</v>
      </c>
      <c r="AB115" s="39" cm="1">
        <f t="array" ref="AB115">$C$121</f>
        <v>6</v>
      </c>
      <c r="AC115" s="39" cm="1">
        <f t="array" ref="AC115">$C$121</f>
        <v>6</v>
      </c>
      <c r="AD115" s="39" cm="1">
        <f t="array" ref="AD115">$C$121</f>
        <v>6</v>
      </c>
      <c r="AE115" s="39" cm="1">
        <f t="array" ref="AE115">$C$121</f>
        <v>6</v>
      </c>
      <c r="AF115" s="39" cm="1">
        <f t="array" ref="AF115">$C$121</f>
        <v>6</v>
      </c>
      <c r="AG115" s="39" cm="1">
        <f t="array" ref="AG115">$C$121</f>
        <v>6</v>
      </c>
      <c r="AH115" s="39" cm="1">
        <f t="array" ref="AH115">$C$121</f>
        <v>6</v>
      </c>
      <c r="AI115" s="39" cm="1">
        <f t="array" ref="AI115">$C$121</f>
        <v>6</v>
      </c>
      <c r="AJ115" s="39" cm="1">
        <f t="array" ref="AJ115">$C$121</f>
        <v>6</v>
      </c>
      <c r="AK115" s="39" cm="1">
        <f t="array" ref="AK115">$C$121</f>
        <v>6</v>
      </c>
      <c r="AL115" s="39" cm="1">
        <f t="array" ref="AL115">$C$121</f>
        <v>6</v>
      </c>
      <c r="AM115" s="39" cm="1">
        <f t="array" ref="AM115">$C$121</f>
        <v>6</v>
      </c>
      <c r="AN115" s="39" cm="1">
        <f t="array" ref="AN115">$C$121</f>
        <v>6</v>
      </c>
      <c r="AO115" s="39" cm="1">
        <f t="array" ref="AO115">$C$121</f>
        <v>6</v>
      </c>
      <c r="AP115" s="39" cm="1">
        <f t="array" ref="AP115">$C$121</f>
        <v>6</v>
      </c>
      <c r="AQ115" s="39" cm="1">
        <f t="array" ref="AQ115">$C$121</f>
        <v>6</v>
      </c>
      <c r="AR115" s="39" cm="1">
        <f t="array" ref="AR115">$C$121</f>
        <v>6</v>
      </c>
      <c r="AS115" s="39" cm="1">
        <f t="array" ref="AS115">$C$121</f>
        <v>6</v>
      </c>
      <c r="AT115" s="39" cm="1">
        <f t="array" ref="AT115">$C$121</f>
        <v>6</v>
      </c>
      <c r="AU115" s="39" cm="1">
        <f t="array" ref="AU115">$C$121</f>
        <v>6</v>
      </c>
      <c r="AV115" s="39" cm="1">
        <f t="array" ref="AV115">$C$121</f>
        <v>6</v>
      </c>
      <c r="AW115" s="39" cm="1">
        <f t="array" ref="AW115">$C$121</f>
        <v>6</v>
      </c>
      <c r="AX115" s="39" cm="1">
        <f t="array" ref="AX115">$C$121</f>
        <v>6</v>
      </c>
      <c r="AY115" s="38"/>
      <c r="AZ115" s="40" cm="1">
        <f t="array" ref="AZ115">$C$121</f>
        <v>6</v>
      </c>
      <c r="BA115" s="40" cm="1">
        <f t="array" ref="BA115">$C$121</f>
        <v>6</v>
      </c>
      <c r="BB115" s="40" cm="1">
        <f t="array" ref="BB115">$C$121</f>
        <v>6</v>
      </c>
    </row>
    <row r="116" ht="15" customHeight="1">
      <c r="B116" s="1" t="s">
        <v>114</v>
      </c>
      <c r="C116" s="39">
        <f t="shared" si="42" ref="C116:BB116">_xlfn.IFERROR($C$121-C108,0)</f>
        <v>6</v>
      </c>
      <c r="D116" s="39">
        <f t="shared" si="42"/>
        <v>6</v>
      </c>
      <c r="E116" s="39">
        <f t="shared" si="42"/>
        <v>6</v>
      </c>
      <c r="F116" s="39">
        <f t="shared" si="42"/>
        <v>6</v>
      </c>
      <c r="G116" s="39">
        <f t="shared" si="42"/>
        <v>6</v>
      </c>
      <c r="H116" s="39">
        <f t="shared" si="42"/>
        <v>6</v>
      </c>
      <c r="I116" s="39">
        <f t="shared" si="42"/>
        <v>6</v>
      </c>
      <c r="J116" s="39">
        <f t="shared" si="42"/>
        <v>6</v>
      </c>
      <c r="K116" s="39">
        <f t="shared" si="42"/>
        <v>6</v>
      </c>
      <c r="L116" s="39">
        <f t="shared" si="42"/>
        <v>6</v>
      </c>
      <c r="M116" s="39">
        <f t="shared" si="42"/>
        <v>6</v>
      </c>
      <c r="N116" s="39">
        <f t="shared" si="42"/>
        <v>1.00794496197138</v>
      </c>
      <c r="O116" s="39">
        <f t="shared" si="42"/>
        <v>1.09862607758621</v>
      </c>
      <c r="P116" s="39">
        <f t="shared" si="42"/>
        <v>1.24704520652138</v>
      </c>
      <c r="Q116" s="39">
        <f t="shared" si="42"/>
        <v>1.19239217646362</v>
      </c>
      <c r="R116" s="39">
        <f t="shared" si="42"/>
        <v>1.20123357504137</v>
      </c>
      <c r="S116" s="39">
        <f t="shared" si="42"/>
        <v>1.19761445524927</v>
      </c>
      <c r="T116" s="39">
        <f t="shared" si="42"/>
        <v>1.14180841062296</v>
      </c>
      <c r="U116" s="39">
        <f t="shared" si="42"/>
        <v>1.1767269615904</v>
      </c>
      <c r="V116" s="39">
        <f t="shared" si="42"/>
        <v>0.74743555113415</v>
      </c>
      <c r="W116" s="39">
        <f t="shared" si="42"/>
        <v>0.759969680931</v>
      </c>
      <c r="X116" s="39">
        <f t="shared" si="42"/>
        <v>0.8383219175863</v>
      </c>
      <c r="Y116" s="39">
        <f t="shared" si="42"/>
        <v>1.04514150124429</v>
      </c>
      <c r="Z116" s="39">
        <f t="shared" si="42"/>
        <v>1.04312553373185</v>
      </c>
      <c r="AA116" s="39">
        <f t="shared" si="42"/>
        <v>1.22090840015824</v>
      </c>
      <c r="AB116" s="39">
        <f t="shared" si="42"/>
        <v>1.39097206074921</v>
      </c>
      <c r="AC116" s="39">
        <f t="shared" si="42"/>
        <v>1.47034152539382</v>
      </c>
      <c r="AD116" s="39">
        <f t="shared" si="42"/>
        <v>1.58451517531298</v>
      </c>
      <c r="AE116" s="39">
        <f t="shared" si="42"/>
        <v>1.79439530508522</v>
      </c>
      <c r="AF116" s="39">
        <f t="shared" si="42"/>
        <v>1.77175158759599</v>
      </c>
      <c r="AG116" s="39">
        <f t="shared" si="42"/>
        <v>1.88029526618444</v>
      </c>
      <c r="AH116" s="39">
        <f t="shared" si="42"/>
        <v>1.76782292483233</v>
      </c>
      <c r="AI116" s="39">
        <f t="shared" si="42"/>
        <v>1.77174344185847</v>
      </c>
      <c r="AJ116" s="39">
        <f t="shared" si="42"/>
        <v>2.03159746842091</v>
      </c>
      <c r="AK116" s="39">
        <f t="shared" si="42"/>
        <v>2.18359505427049</v>
      </c>
      <c r="AL116" s="39">
        <f t="shared" si="42"/>
        <v>2.23208227204542</v>
      </c>
      <c r="AM116" s="39">
        <f t="shared" si="42"/>
        <v>2.36607974912603</v>
      </c>
      <c r="AN116" s="39">
        <f t="shared" si="42"/>
        <v>2.44970624011977</v>
      </c>
      <c r="AO116" s="39">
        <f t="shared" si="42"/>
        <v>2.39740235331358</v>
      </c>
      <c r="AP116" s="39">
        <f t="shared" si="42"/>
        <v>2.42073745356635</v>
      </c>
      <c r="AQ116" s="39">
        <f t="shared" si="42"/>
        <v>2.47392215795721</v>
      </c>
      <c r="AR116" s="39">
        <f t="shared" si="42"/>
        <v>2.4320638974436</v>
      </c>
      <c r="AS116" s="39">
        <f t="shared" si="42"/>
        <v>2.51782507827997</v>
      </c>
      <c r="AT116" s="39">
        <f t="shared" si="42"/>
        <v>2.58438565630559</v>
      </c>
      <c r="AU116" s="39">
        <f t="shared" si="42"/>
        <v>2.54372877717497</v>
      </c>
      <c r="AV116" s="39">
        <f t="shared" si="42"/>
        <v>2.66061672734286</v>
      </c>
      <c r="AW116" s="39">
        <f t="shared" si="42"/>
        <v>2.73804720597135</v>
      </c>
      <c r="AX116" s="39">
        <f t="shared" si="42"/>
        <v>2.67753319574597</v>
      </c>
      <c r="AY116" s="38"/>
      <c r="AZ116" s="40">
        <f t="shared" si="42"/>
        <v>2.34393278901429</v>
      </c>
      <c r="BA116" s="40">
        <f t="shared" si="42"/>
        <v>2.95037756719355</v>
      </c>
      <c r="BB116" s="40">
        <f t="shared" si="42"/>
        <v>3.30822829143357</v>
      </c>
    </row>
    <row r="117" ht="1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ht="15" customHeight="1">
      <c r="B118" s="13" t="s">
        <v>115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</row>
    <row r="119" ht="15" customHeight="1">
      <c r="B119" s="1" t="s">
        <v>116</v>
      </c>
      <c r="C119" s="34">
        <v>0.25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ht="15" customHeight="1">
      <c r="B120" s="1" t="s">
        <v>117</v>
      </c>
      <c r="C120" s="34">
        <v>0.06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ht="15" customHeight="1">
      <c r="B121" s="1" t="s">
        <v>113</v>
      </c>
      <c r="C121" s="42">
        <v>6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ht="15" customHeight="1">
      <c r="B122" s="1" t="s">
        <v>118</v>
      </c>
      <c r="C122" s="15">
        <v>12000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ht="1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ht="1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ht="1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ht="1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ht="1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ht="1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ht="1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ht="1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ce70b90a-16e9-4684-b1aa-af15e1d9e99d</vt:lpwstr>
  </property>
</Properties>
</file>