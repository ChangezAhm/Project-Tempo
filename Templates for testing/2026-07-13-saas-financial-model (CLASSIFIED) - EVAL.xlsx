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hang\NewProject\"/>
    </mc:Choice>
  </mc:AlternateContent>
  <bookViews>
    <workbookView xWindow="-5550" yWindow="-21720" windowWidth="38640" windowHeight="21120" activeTab="1"/>
  </bookViews>
  <sheets>
    <sheet name="EVAL LEGEND" sheetId="8" r:id="rId3"/>
    <sheet name="Cover" sheetId="1" r:id="rId4"/>
    <sheet name="Monthly_Flash" sheetId="2" r:id="rId5"/>
    <sheet name="Balance_Sheet" sheetId="3" r:id="rId6"/>
    <sheet name="Covenants" sheetId="4" r:id="rId7"/>
    <sheet name="KPI_Dashboard" sheetId="5" r:id="rId8"/>
    <sheet name="Checks" sheetId="6" r:id="rId9"/>
    <sheet name="Config" sheetId="7" r:id="rId10"/>
  </sheets>
  <definedNames>
    <definedName name="AsOfDate" comment="Reporting as-of date">Cover!$C$7</definedName>
    <definedName name="ReportingEntity" comment="Selected reporting entity">Cover!$C$6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5" l="1"/>
</calcChain>
</file>

<file path=xl/metadata.xml><?xml version="1.0" encoding="utf-8"?>
<metadata xmlns="http://schemas.openxmlformats.org/spreadsheetml/2006/main" xmlns:xda="http://schemas.microsoft.com/office/spreadsheetml/2017/dynamicarray" xmlns:xlrd="http://schemas.microsoft.com/office/spreadsheetml/2017/richdata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<sst xmlns="http://schemas.openxmlformats.org/spreadsheetml/2006/main" count="154" uniqueCount="151">
  <si>
    <t>MONTHLY FLASH REPORTING PACK</t>
  </si>
  <si>
    <t>Portfolio Company Monthly Reporting Template</t>
  </si>
  <si>
    <t>Reporting Entity</t>
  </si>
  <si>
    <t>Group (Consolidated)</t>
  </si>
  <si>
    <t>As-of Date</t>
  </si>
  <si>
    <t>Currency</t>
  </si>
  <si>
    <t>€m</t>
  </si>
  <si>
    <t>Prepared by</t>
  </si>
  <si>
    <t>Version</t>
  </si>
  <si>
    <t>v1.0</t>
  </si>
  <si>
    <t>INSTRUCTIONS</t>
  </si>
  <si>
    <t>1.  Set the Reporting Entity and As-of Date above. All month headers across the pack are driven by the As-of Date (via Config).</t>
  </si>
  <si>
    <t>2.  Blue cells are inputs — populate Actual and Budget months on the Monthly Flash, Balance Sheet and KPI Dashboard sheets.</t>
  </si>
  <si>
    <t>3.  Sheets are protected: only input cells are unlocked. Totals, subtotals and the Covenants sheet are formula-driven — do not overwrite.</t>
  </si>
  <si>
    <t>4.  The EBITDA bridge add-backs feed Adjusted EBITDA, which drives LTM Adjusted EBITDA and covenant ratios on the Covenants sheet.</t>
  </si>
  <si>
    <t>5.  Custom KPIs: use the six unlocked label rows at the bottom of the KPI Dashboard (dropdown or free text) and enter values by month.</t>
  </si>
  <si>
    <t>6.  The Checks sheet must show ALL CHECKS PASS = TRUE before circulating this pack.</t>
  </si>
  <si>
    <t>All figures in €m unless stated otherwise.  |  CVC Capital Partners — Portfolio Monitoring</t>
  </si>
  <si>
    <t>MONTHLY FLASH — P&amp;L</t>
  </si>
  <si>
    <t>ACTUAL</t>
  </si>
  <si>
    <t>BUDGET</t>
  </si>
  <si>
    <t>REVENUE</t>
  </si>
  <si>
    <t>Subscription</t>
  </si>
  <si>
    <t>Professional Services</t>
  </si>
  <si>
    <t>Other Revenue</t>
  </si>
  <si>
    <t>Total Revenue</t>
  </si>
  <si>
    <t>COST OF GOODS SOLD</t>
  </si>
  <si>
    <t>Hosting &amp; Infrastructure</t>
  </si>
  <si>
    <t>Customer Support</t>
  </si>
  <si>
    <t>Third-party Licences</t>
  </si>
  <si>
    <t>Total COGS</t>
  </si>
  <si>
    <t>Gross Profit</t>
  </si>
  <si>
    <t>OPERATING EXPENSES</t>
  </si>
  <si>
    <t>Sales &amp; Marketing</t>
  </si>
  <si>
    <t>General &amp; Admin</t>
  </si>
  <si>
    <t>Research &amp; Development</t>
  </si>
  <si>
    <t>Total Opex</t>
  </si>
  <si>
    <t>EBITDA</t>
  </si>
  <si>
    <t>EBITDA BRIDGE</t>
  </si>
  <si>
    <t>Reported EBITDA</t>
  </si>
  <si>
    <t>Adjusted EBITDA</t>
  </si>
  <si>
    <t>Depreciation &amp; Amortisation</t>
  </si>
  <si>
    <t>EBIT</t>
  </si>
  <si>
    <t>Interest</t>
  </si>
  <si>
    <t>PBT</t>
  </si>
  <si>
    <t>Tax</t>
  </si>
  <si>
    <t>Net Income</t>
  </si>
  <si>
    <t>OPERATIONAL KPIs</t>
  </si>
  <si>
    <t>Headcount (FTE)</t>
  </si>
  <si>
    <t>ARR (€m)</t>
  </si>
  <si>
    <t>BALANCE SHEET</t>
  </si>
  <si>
    <t>ASSETS</t>
  </si>
  <si>
    <t>Cash &amp; Equivalents</t>
  </si>
  <si>
    <t>Receivables</t>
  </si>
  <si>
    <t>Inventory</t>
  </si>
  <si>
    <t>Other Assets</t>
  </si>
  <si>
    <t>Total Assets</t>
  </si>
  <si>
    <t>LIABILITIES &amp; EQUITY</t>
  </si>
  <si>
    <t>Payables</t>
  </si>
  <si>
    <t>Senior Debt</t>
  </si>
  <si>
    <t>Revolving Credit Facility</t>
  </si>
  <si>
    <t>Shareholder Loan</t>
  </si>
  <si>
    <t>Total Debt</t>
  </si>
  <si>
    <t>Other Liabilities</t>
  </si>
  <si>
    <t>Equity</t>
  </si>
  <si>
    <t>Total Liabilities &amp; Equity</t>
  </si>
  <si>
    <t>KEY METRICS</t>
  </si>
  <si>
    <t>Net Debt</t>
  </si>
  <si>
    <t>Net Working Capital</t>
  </si>
  <si>
    <t>COVENANTS</t>
  </si>
  <si>
    <t>BUILDING BLOCKS</t>
  </si>
  <si>
    <t>LTM Adjusted EBITDA (€m)</t>
  </si>
  <si>
    <t>LTM Interest (€m)</t>
  </si>
  <si>
    <t>Net Debt (€m)</t>
  </si>
  <si>
    <t>COVENANT TESTS</t>
  </si>
  <si>
    <t>Metric</t>
  </si>
  <si>
    <t>Value</t>
  </si>
  <si>
    <t>Threshold</t>
  </si>
  <si>
    <t>Headroom</t>
  </si>
  <si>
    <t>Status</t>
  </si>
  <si>
    <t>Net Leverage (Net Debt / LTM Adj. EBITDA)</t>
  </si>
  <si>
    <t>Interest Cover (LTM Adj. EBITDA / LTM Interest)</t>
  </si>
  <si>
    <t>This sheet is fully formula-driven — no manual inputs. Thresholds are maintained on Config.</t>
  </si>
  <si>
    <t>KPI DASHBOARD</t>
  </si>
  <si>
    <t>CORE KPIs</t>
  </si>
  <si>
    <t>Net Revenue Retention %</t>
  </si>
  <si>
    <t>Revenue per FTE (€'000)</t>
  </si>
  <si>
    <t>CAC Payback (months)</t>
  </si>
  <si>
    <t>Revenue Growth % (YoY)</t>
  </si>
  <si>
    <t>EBITDA Margin %</t>
  </si>
  <si>
    <t>Rule of 40 %</t>
  </si>
  <si>
    <t>CUSTOM KPIs</t>
  </si>
  <si>
    <t>Custom KPI 1</t>
  </si>
  <si>
    <t>Custom KPI 2</t>
  </si>
  <si>
    <t>Custom KPI 3</t>
  </si>
  <si>
    <t>Custom KPI 4</t>
  </si>
  <si>
    <t>Custom KPI 5</t>
  </si>
  <si>
    <t>Custom KPI 6</t>
  </si>
  <si>
    <t>Custom KPI labels are unlocked — pick from the dropdown list (maintained on Config) or type your own; enter values by month.</t>
  </si>
  <si>
    <t>CHECKS — TIE-OUTS</t>
  </si>
  <si>
    <t>All differences should be ~0. Status flags flip to ERROR on any break.</t>
  </si>
  <si>
    <t>Check</t>
  </si>
  <si>
    <t>Difference</t>
  </si>
  <si>
    <t>(a) Total Revenue = sum of revenue streams (Actual + Budget)</t>
  </si>
  <si>
    <t>(b) Balance Sheet balances (Total Assets = Total Liabilities &amp; Equity)</t>
  </si>
  <si>
    <t>(c) Adjusted EBITDA (Flash) = LTM building block (Covenants)</t>
  </si>
  <si>
    <t>(d) Net Debt (Balance Sheet) = Net Debt (Covenants)</t>
  </si>
  <si>
    <t>(e) Headcount (Flash) = Headcount (KPI Dashboard)</t>
  </si>
  <si>
    <t>ALL CHECKS PASS</t>
  </si>
  <si>
    <t>CONFIG — Lists &amp; Drivers</t>
  </si>
  <si>
    <t>MONTH DRIVER</t>
  </si>
  <si>
    <t>First actual month</t>
  </si>
  <si>
    <t>As-of month (last actual)</t>
  </si>
  <si>
    <t>ENTITY LIST</t>
  </si>
  <si>
    <t>HoldCo</t>
  </si>
  <si>
    <t>OpCo — Germany</t>
  </si>
  <si>
    <t>OpCo — France</t>
  </si>
  <si>
    <t>OpCo — UK</t>
  </si>
  <si>
    <t>SCENARIO LIST</t>
  </si>
  <si>
    <t>Actual</t>
  </si>
  <si>
    <t>Budget</t>
  </si>
  <si>
    <t>Forecast</t>
  </si>
  <si>
    <t>CURRENCY LIST</t>
  </si>
  <si>
    <t>£m</t>
  </si>
  <si>
    <t>$m</t>
  </si>
  <si>
    <t>COVENANT THRESHOLDS</t>
  </si>
  <si>
    <t>Max Net Leverage</t>
  </si>
  <si>
    <t>Min Interest Cover</t>
  </si>
  <si>
    <t>CUSTOM KPI LIST</t>
  </si>
  <si>
    <t>Gross Margin %</t>
  </si>
  <si>
    <t>Logo Churn %</t>
  </si>
  <si>
    <t>Bookings (€m)</t>
  </si>
  <si>
    <t>Pipeline Coverage (x)</t>
  </si>
  <si>
    <t>NPS</t>
  </si>
  <si>
    <t>Other…</t>
  </si>
  <si>
    <t>Classification eval — 2026-07-13-saas-financial-model</t>
  </si>
  <si>
    <t>Every cell you marked (1/2) is coloured by what the system did with it:</t>
  </si>
  <si>
    <t>GREEN</t>
  </si>
  <si>
    <t>agreement — system fills this marked cell</t>
  </si>
  <si>
    <t>RED</t>
  </si>
  <si>
    <t>MISSED — invisible to the system (no fact, no region)</t>
  </si>
  <si>
    <t>ORANGE</t>
  </si>
  <si>
    <t>marked but holds a FORMULA — system never writes formulas</t>
  </si>
  <si>
    <t>BLUE</t>
  </si>
  <si>
    <t>recognized as extensible-region slot (add-line path)</t>
  </si>
  <si>
    <t>PURPLE</t>
  </si>
  <si>
    <t>seen but classified config/staging (control/placeholder)</t>
  </si>
  <si>
    <t>YELLOW</t>
  </si>
  <si>
    <t>NOT marked by you, but the system would fill it</t>
  </si>
  <si>
    <t>Note: YELLOW skips cells whose marking collides with a placeholder value (CLASSIFIED == NORMAL == 1/2) — ground truth is ambiguous there.</t>
  </si>
  <si>
    <t>Marked cells scored: 816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</si>
</sst>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dd\ mmm\ yyyy"/>
    <numFmt numFmtId="165" formatCode="_(#,##0.0_);\(#,##0.0\)"/>
    <numFmt numFmtId="166" formatCode="0.0%"/>
    <numFmt numFmtId="167" formatCode="0.00&quot;x&quot;"/>
    <numFmt numFmtId="168" formatCode="&quot;≤ &quot;0.00&quot;x&quot;"/>
    <numFmt numFmtId="169" formatCode="&quot;≥ &quot;0.00&quot;x&quot;"/>
    <numFmt numFmtId="171" formatCode="0.000"/>
  </numFmts>
  <fonts count="14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212529"/>
      <name val="Arial"/>
      <family val="2"/>
    </font>
    <font>
      <sz val="18"/>
      <color rgb="FFFFFFFF"/>
      <name val="Arial Nova Light"/>
      <family val="2"/>
    </font>
    <font>
      <sz val="11"/>
      <color rgb="FF6C757D"/>
      <name val="Arial"/>
      <family val="2"/>
    </font>
    <font>
      <b/>
      <sz val="11"/>
      <color rgb="FF1B2A4A"/>
      <name val="Arial"/>
      <family val="2"/>
    </font>
    <font>
      <sz val="11"/>
      <color rgb="FF0000FF"/>
      <name val="Arial"/>
      <family val="2"/>
    </font>
    <font>
      <i/>
      <sz val="10"/>
      <color rgb="FF6C757D"/>
      <name val="Arial"/>
      <family val="2"/>
    </font>
    <font>
      <sz val="14"/>
      <color rgb="FFFFFFFF"/>
      <name val="Arial Nova Light"/>
      <family val="2"/>
    </font>
    <font>
      <b/>
      <sz val="11"/>
      <color rgb="FFFFFFFF"/>
      <name val="Arial"/>
      <family val="2"/>
    </font>
    <font>
      <b/>
      <sz val="10"/>
      <color rgb="FF1B2A4A"/>
      <name val="Arial"/>
      <family val="2"/>
    </font>
    <font>
      <b/>
      <sz val="11"/>
      <color rgb="FF212529"/>
      <name val="Arial"/>
      <family val="2"/>
    </font>
    <font>
      <sz val="11"/>
      <color rgb="FF008000"/>
      <name val="Arial"/>
      <family val="2"/>
    </font>
    <font>
      <i/>
      <sz val="11"/>
      <color rgb="FF0000FF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436987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B2A4A"/>
        <bgColor indexed="64"/>
      </patternFill>
    </fill>
    <fill>
      <patternFill patternType="solid">
        <fgColor rgb="FF5A7A99"/>
        <bgColor indexed="64"/>
      </patternFill>
    </fill>
    <fill>
      <patternFill patternType="solid">
        <fgColor rgb="FF63BE7B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9DC3E6"/>
        <bgColor indexed="64"/>
      </patternFill>
    </fill>
    <fill>
      <patternFill patternType="solid">
        <fgColor rgb="FFFFF200"/>
        <bgColor indexed="64"/>
      </patternFill>
    </fill>
    <fill>
      <patternFill patternType="solid">
        <fgColor rgb="FFC9A0DC"/>
        <bgColor indexed="64"/>
      </patternFill>
    </fill>
  </fills>
  <borders count="10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</border>
    <border>
      <left/>
      <right/>
      <top/>
      <bottom style="thin">
        <color rgb="FF436987"/>
      </bottom>
    </border>
    <border>
      <left/>
      <right/>
      <top/>
      <bottom style="thin">
        <color rgb="FF1B2A4A"/>
      </bottom>
    </border>
    <border>
      <left/>
      <right/>
      <top style="thin">
        <color rgb="FF1B2A4A"/>
      </top>
      <bottom/>
    </border>
    <border>
      <left/>
      <right/>
      <top style="thin">
        <color rgb="FF1B2A4A"/>
      </top>
      <bottom style="double">
        <color rgb="FF1B2A4A"/>
      </bottom>
    </border>
    <border>
      <left/>
      <right/>
      <top/>
      <bottom style="thin">
        <color rgb="FFDEE2E6"/>
      </bottom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</border>
    <border>
      <left/>
      <right/>
      <top style="thin">
        <color rgb="FFDEE2E6"/>
      </top>
      <bottom style="thin">
        <color rgb="FFDEE2E6"/>
      </bottom>
    </border>
    <border>
      <left/>
      <right/>
      <top style="thin">
        <color rgb="FF436987"/>
      </top>
      <bottom/>
    </border>
  </borders>
  <cellStyleXfs count="6">
    <xf numFmtId="0" fontId="0" fillId="0" borderId="0">
      <alignment/>
      <protection/>
    </xf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71">
    <xf numFmtId="0" fontId="0" fillId="0" borderId="0" xfId="0">
      <alignment/>
    </xf>
    <xf numFmtId="0" fontId="2" fillId="0" borderId="0" xfId="0" applyFont="1" applyBorder="1" applyAlignment="1">
      <alignment vertical="top"/>
    </xf>
    <xf numFmtId="0" fontId="3" fillId="2" borderId="0" xfId="0" applyFont="1" applyFill="1" applyBorder="1" applyAlignment="1">
      <alignment vertical="center"/>
    </xf>
    <xf numFmtId="0" fontId="4" fillId="0" borderId="0" xfId="0" applyFont="1" applyBorder="1" applyAlignment="1">
      <alignment vertical="top"/>
    </xf>
    <xf numFmtId="0" fontId="5" fillId="3" borderId="0" xfId="0" applyFont="1" applyFill="1" applyBorder="1" applyAlignment="1">
      <alignment vertical="top"/>
    </xf>
    <xf numFmtId="0" fontId="6" fillId="4" borderId="1" xfId="0" applyFont="1" applyFill="1" applyBorder="1" applyAlignment="1" applyProtection="1">
      <alignment horizontal="left" vertical="top"/>
      <protection locked="0"/>
    </xf>
    <xf numFmtId="164" fontId="6" fillId="4" borderId="1" xfId="0" applyNumberFormat="1" applyFont="1" applyFill="1" applyBorder="1" applyAlignment="1" applyProtection="1">
      <alignment horizontal="left" vertical="top"/>
      <protection locked="0"/>
    </xf>
    <xf numFmtId="0" fontId="5" fillId="3" borderId="2" xfId="0" applyFont="1" applyFill="1" applyBorder="1" applyAlignment="1">
      <alignment vertical="top"/>
    </xf>
    <xf numFmtId="0" fontId="7" fillId="0" borderId="0" xfId="0" applyFont="1" applyBorder="1" applyAlignment="1">
      <alignment vertical="top"/>
    </xf>
    <xf numFmtId="0" fontId="8" fillId="2" borderId="0" xfId="0" applyFont="1" applyFill="1" applyBorder="1" applyAlignment="1">
      <alignment vertical="center"/>
    </xf>
    <xf numFmtId="17" fontId="10" fillId="0" borderId="3" xfId="0" applyNumberFormat="1" applyFont="1" applyBorder="1" applyAlignment="1">
      <alignment horizontal="center" vertical="top"/>
    </xf>
    <xf numFmtId="0" fontId="10" fillId="3" borderId="0" xfId="0" applyFont="1" applyFill="1" applyBorder="1" applyAlignment="1">
      <alignment vertical="top"/>
    </xf>
    <xf numFmtId="0" fontId="2" fillId="0" borderId="0" xfId="0" applyFont="1" applyBorder="1" applyAlignment="1">
      <alignment horizontal="left" vertical="top" indent="1"/>
    </xf>
    <xf numFmtId="165" fontId="6" fillId="0" borderId="0" xfId="0" applyNumberFormat="1" applyFont="1" applyBorder="1" applyAlignment="1" applyProtection="1">
      <alignment vertical="top"/>
      <protection locked="0"/>
    </xf>
    <xf numFmtId="0" fontId="11" fillId="0" borderId="4" xfId="0" applyFont="1" applyBorder="1" applyAlignment="1">
      <alignment vertical="top"/>
    </xf>
    <xf numFmtId="165" fontId="11" fillId="0" borderId="4" xfId="0" applyNumberFormat="1" applyFont="1" applyBorder="1" applyAlignment="1">
      <alignment vertical="top"/>
    </xf>
    <xf numFmtId="0" fontId="11" fillId="0" borderId="0" xfId="0" applyFont="1" applyBorder="1" applyAlignment="1">
      <alignment vertical="top"/>
    </xf>
    <xf numFmtId="165" fontId="11" fillId="0" borderId="0" xfId="0" applyNumberFormat="1" applyFont="1" applyBorder="1" applyAlignment="1">
      <alignment vertical="top"/>
    </xf>
    <xf numFmtId="0" fontId="11" fillId="0" borderId="5" xfId="0" applyFont="1" applyBorder="1" applyAlignment="1">
      <alignment vertical="top"/>
    </xf>
    <xf numFmtId="165" fontId="11" fillId="0" borderId="5" xfId="0" applyNumberFormat="1" applyFont="1" applyBorder="1" applyAlignment="1">
      <alignment vertical="top"/>
    </xf>
    <xf numFmtId="165" fontId="2" fillId="0" borderId="0" xfId="0" applyNumberFormat="1" applyFont="1" applyBorder="1" applyAlignment="1">
      <alignment vertical="top"/>
    </xf>
    <xf numFmtId="0" fontId="10" fillId="0" borderId="3" xfId="0" applyFont="1" applyBorder="1" applyAlignment="1">
      <alignment horizontal="left" vertical="top"/>
    </xf>
    <xf numFmtId="0" fontId="10" fillId="0" borderId="3" xfId="0" applyFont="1" applyBorder="1" applyAlignment="1">
      <alignment horizontal="center" vertical="top"/>
    </xf>
    <xf numFmtId="0" fontId="2" fillId="0" borderId="6" xfId="0" applyFont="1" applyBorder="1" applyAlignment="1">
      <alignment vertical="top"/>
    </xf>
    <xf numFmtId="167" fontId="2" fillId="0" borderId="6" xfId="0" applyNumberFormat="1" applyFont="1" applyBorder="1" applyAlignment="1">
      <alignment horizontal="center" vertical="top"/>
    </xf>
    <xf numFmtId="168" fontId="2" fillId="0" borderId="6" xfId="0" applyNumberFormat="1" applyFont="1" applyBorder="1" applyAlignment="1">
      <alignment horizontal="center" vertical="top"/>
    </xf>
    <xf numFmtId="0" fontId="2" fillId="0" borderId="6" xfId="0" applyFont="1" applyBorder="1" applyAlignment="1">
      <alignment horizontal="center" vertical="top"/>
    </xf>
    <xf numFmtId="169" fontId="2" fillId="0" borderId="6" xfId="0" applyNumberFormat="1" applyFont="1" applyBorder="1" applyAlignment="1">
      <alignment horizontal="center" vertical="top"/>
    </xf>
    <xf numFmtId="165" fontId="12" fillId="0" borderId="0" xfId="0" applyNumberFormat="1" applyFont="1" applyBorder="1" applyAlignment="1">
      <alignment vertical="top"/>
    </xf>
    <xf numFmtId="3" fontId="12" fillId="0" borderId="0" xfId="0" applyNumberFormat="1" applyFont="1" applyBorder="1" applyAlignment="1">
      <alignment vertical="top"/>
    </xf>
    <xf numFmtId="166" fontId="2" fillId="0" borderId="0" xfId="0" applyNumberFormat="1" applyFont="1" applyBorder="1" applyAlignment="1">
      <alignment vertical="top"/>
    </xf>
    <xf numFmtId="0" fontId="11" fillId="0" borderId="4" xfId="0" applyFont="1" applyBorder="1" applyAlignment="1">
      <alignment horizontal="left" vertical="top" indent="1"/>
    </xf>
    <xf numFmtId="166" fontId="11" fillId="0" borderId="4" xfId="0" applyNumberFormat="1" applyFont="1" applyBorder="1" applyAlignment="1">
      <alignment vertical="top"/>
    </xf>
    <xf numFmtId="0" fontId="13" fillId="0" borderId="7" xfId="0" applyFont="1" applyBorder="1" applyAlignment="1" applyProtection="1">
      <alignment horizontal="left" vertical="top" indent="1"/>
      <protection locked="0"/>
    </xf>
    <xf numFmtId="165" fontId="6" fillId="0" borderId="7" xfId="0" applyNumberFormat="1" applyFont="1" applyBorder="1" applyAlignment="1" applyProtection="1">
      <alignment vertical="top"/>
      <protection locked="0"/>
    </xf>
    <xf numFmtId="0" fontId="10" fillId="0" borderId="3" xfId="0" applyFont="1" applyBorder="1" applyAlignment="1">
      <alignment vertical="top"/>
    </xf>
    <xf numFmtId="171" fontId="2" fillId="0" borderId="6" xfId="0" applyNumberFormat="1" applyFont="1" applyBorder="1" applyAlignment="1">
      <alignment horizontal="center" vertical="top"/>
    </xf>
    <xf numFmtId="0" fontId="5" fillId="3" borderId="5" xfId="0" applyFont="1" applyFill="1" applyBorder="1" applyAlignment="1">
      <alignment vertical="top"/>
    </xf>
    <xf numFmtId="0" fontId="5" fillId="3" borderId="5" xfId="0" applyFont="1" applyFill="1" applyBorder="1" applyAlignment="1">
      <alignment horizontal="center" vertical="top"/>
    </xf>
    <xf numFmtId="0" fontId="8" fillId="2" borderId="0" xfId="0" applyFont="1" applyFill="1" applyBorder="1" applyAlignment="1">
      <alignment vertical="top"/>
    </xf>
    <xf numFmtId="17" fontId="2" fillId="0" borderId="0" xfId="0" applyNumberFormat="1" applyFont="1" applyBorder="1" applyAlignment="1">
      <alignment vertical="top"/>
    </xf>
    <xf numFmtId="0" fontId="2" fillId="0" borderId="0" xfId="0" applyFont="1" applyBorder="1" applyAlignment="1" applyProtection="1">
      <alignment vertical="top"/>
      <protection locked="0"/>
    </xf>
    <xf numFmtId="167" fontId="6" fillId="0" borderId="0" xfId="0" applyNumberFormat="1" applyFont="1" applyBorder="1" applyAlignment="1" applyProtection="1">
      <alignment vertical="top"/>
      <protection locked="0"/>
    </xf>
    <xf numFmtId="0" fontId="9" fillId="5" borderId="0" xfId="0" applyFont="1" applyFill="1" applyBorder="1" applyAlignment="1">
      <alignment horizontal="center" vertical="top"/>
    </xf>
    <xf numFmtId="0" fontId="9" fillId="6" borderId="0" xfId="0" applyFont="1" applyFill="1" applyBorder="1" applyAlignment="1">
      <alignment horizontal="center" vertical="top"/>
    </xf>
    <xf numFmtId="2" fontId="6" fillId="0" borderId="0" xfId="0" applyNumberFormat="1" applyFont="1" applyBorder="1" applyAlignment="1" applyProtection="1">
      <alignment vertical="top"/>
      <protection locked="0"/>
    </xf>
    <xf numFmtId="165" fontId="6" fillId="7" borderId="0" xfId="0" applyNumberFormat="1" applyFont="1" applyFill="1" applyBorder="1" applyAlignment="1" applyProtection="1">
      <alignment vertical="top"/>
      <protection locked="0"/>
    </xf>
    <xf numFmtId="165" fontId="6" fillId="8" borderId="0" xfId="0" applyNumberFormat="1" applyFont="1" applyFill="1" applyBorder="1" applyAlignment="1" applyProtection="1">
      <alignment vertical="top"/>
      <protection locked="0"/>
    </xf>
    <xf numFmtId="165" fontId="6" fillId="7" borderId="3" xfId="0" applyNumberFormat="1" applyFont="1" applyFill="1" applyBorder="1" applyAlignment="1" applyProtection="1">
      <alignment vertical="top"/>
      <protection locked="0"/>
    </xf>
    <xf numFmtId="165" fontId="6" fillId="8" borderId="3" xfId="0" applyNumberFormat="1" applyFont="1" applyFill="1" applyBorder="1" applyAlignment="1" applyProtection="1">
      <alignment vertical="top"/>
      <protection locked="0"/>
    </xf>
    <xf numFmtId="0" fontId="2" fillId="8" borderId="0" xfId="0" applyFont="1" applyFill="1" applyBorder="1" applyAlignment="1">
      <alignment horizontal="left" vertical="top" indent="1"/>
    </xf>
    <xf numFmtId="0" fontId="2" fillId="8" borderId="3" xfId="0" applyFont="1" applyFill="1" applyBorder="1" applyAlignment="1">
      <alignment horizontal="left" vertical="top" indent="1"/>
    </xf>
    <xf numFmtId="165" fontId="11" fillId="9" borderId="5" xfId="0" applyNumberFormat="1" applyFont="1" applyFill="1" applyBorder="1" applyAlignment="1">
      <alignment vertical="top"/>
    </xf>
    <xf numFmtId="165" fontId="11" fillId="9" borderId="0" xfId="0" applyNumberFormat="1" applyFont="1" applyFill="1" applyBorder="1" applyAlignment="1">
      <alignment vertical="top"/>
    </xf>
    <xf numFmtId="165" fontId="2" fillId="9" borderId="0" xfId="0" applyNumberFormat="1" applyFont="1" applyFill="1" applyBorder="1" applyAlignment="1">
      <alignment vertical="top"/>
    </xf>
    <xf numFmtId="167" fontId="2" fillId="9" borderId="8" xfId="0" applyNumberFormat="1" applyFont="1" applyFill="1" applyBorder="1" applyAlignment="1">
      <alignment horizontal="center" vertical="top"/>
    </xf>
    <xf numFmtId="165" fontId="12" fillId="9" borderId="0" xfId="0" applyNumberFormat="1" applyFont="1" applyFill="1" applyBorder="1" applyAlignment="1">
      <alignment vertical="top"/>
    </xf>
    <xf numFmtId="2" fontId="6" fillId="7" borderId="0" xfId="0" applyNumberFormat="1" applyFont="1" applyFill="1" applyBorder="1" applyAlignment="1" applyProtection="1">
      <alignment vertical="top"/>
      <protection locked="0"/>
    </xf>
    <xf numFmtId="3" fontId="12" fillId="9" borderId="0" xfId="0" applyNumberFormat="1" applyFont="1" applyFill="1" applyBorder="1" applyAlignment="1">
      <alignment vertical="top"/>
    </xf>
    <xf numFmtId="0" fontId="13" fillId="10" borderId="7" xfId="0" applyFont="1" applyFill="1" applyBorder="1" applyAlignment="1" applyProtection="1">
      <alignment horizontal="left" vertical="top" indent="1"/>
      <protection locked="0"/>
    </xf>
    <xf numFmtId="165" fontId="6" fillId="10" borderId="7" xfId="0" applyNumberFormat="1" applyFont="1" applyFill="1" applyBorder="1" applyAlignment="1" applyProtection="1">
      <alignment vertical="top"/>
      <protection locked="0"/>
    </xf>
    <xf numFmtId="167" fontId="6" fillId="11" borderId="9" xfId="0" applyNumberFormat="1" applyFont="1" applyFill="1" applyBorder="1" applyAlignment="1" applyProtection="1">
      <alignment vertical="top"/>
      <protection locked="0"/>
    </xf>
    <xf numFmtId="167" fontId="6" fillId="11" borderId="0" xfId="0" applyNumberFormat="1" applyFont="1" applyFill="1" applyBorder="1" applyAlignment="1" applyProtection="1">
      <alignment vertical="top"/>
      <protection locked="0"/>
    </xf>
    <xf numFmtId="0" fontId="6" fillId="11" borderId="1" xfId="0" applyFont="1" applyFill="1" applyBorder="1" applyAlignment="1" applyProtection="1">
      <alignment horizontal="left" vertical="top"/>
      <protection locked="0"/>
    </xf>
    <xf numFmtId="164" fontId="6" fillId="11" borderId="1" xfId="0" applyNumberFormat="1" applyFont="1" applyFill="1" applyBorder="1" applyAlignment="1" applyProtection="1">
      <alignment horizontal="left" vertical="top"/>
      <protection locked="0"/>
    </xf>
    <xf numFmtId="0" fontId="0" fillId="7" borderId="0" xfId="0" applyFill="1">
      <alignment/>
    </xf>
    <xf numFmtId="0" fontId="0" fillId="8" borderId="0" xfId="0" applyFill="1">
      <alignment/>
    </xf>
    <xf numFmtId="0" fontId="0" fillId="9" borderId="0" xfId="0" applyFill="1">
      <alignment/>
    </xf>
    <xf numFmtId="0" fontId="0" fillId="10" borderId="0" xfId="0" applyFill="1">
      <alignment/>
    </xf>
    <xf numFmtId="0" fontId="0" fillId="12" borderId="0" xfId="0" applyFill="1">
      <alignment/>
    </xf>
    <xf numFmtId="0" fontId="0" fillId="11" borderId="0" xfId="0" applyFill="1">
      <alignment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8" Type="http://schemas.openxmlformats.org/officeDocument/2006/relationships/worksheet" Target="worksheets/sheet6.xml" /><Relationship Id="rId7" Type="http://schemas.openxmlformats.org/officeDocument/2006/relationships/worksheet" Target="worksheets/sheet5.xml" /><Relationship Id="rId6" Type="http://schemas.openxmlformats.org/officeDocument/2006/relationships/worksheet" Target="worksheets/sheet4.xml" /><Relationship Id="rId9" Type="http://schemas.openxmlformats.org/officeDocument/2006/relationships/worksheet" Target="worksheets/sheet7.xml" /><Relationship Id="rId3" Type="http://schemas.openxmlformats.org/officeDocument/2006/relationships/worksheet" Target="worksheets/sheet1.xml" /><Relationship Id="rId10" Type="http://schemas.openxmlformats.org/officeDocument/2006/relationships/worksheet" Target="worksheets/sheet8.xml" /><Relationship Id="rId5" Type="http://schemas.openxmlformats.org/officeDocument/2006/relationships/worksheet" Target="worksheets/sheet3.xml" /><Relationship Id="rId12" Type="http://schemas.openxmlformats.org/officeDocument/2006/relationships/sheetMetadata" Target="metadata.xml" /><Relationship Id="rId11" Type="http://schemas.openxmlformats.org/officeDocument/2006/relationships/sharedStrings" Target="sharedStrings.xml" /><Relationship Id="rId1" Type="http://schemas.openxmlformats.org/officeDocument/2006/relationships/theme" Target="theme/theme1.xml" /><Relationship Id="rId13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390FAAA-54A7-482C-980E-964FDD50BAA5}">
  <dimension ref="B1:E12"/>
  <sheetViews>
    <sheetView workbookViewId="0" topLeftCell="A1"/>
  </sheetViews>
  <sheetFormatPr defaultRowHeight="15.75"/>
  <cols>
    <col min="2" max="2" width="14.625" customWidth="1"/>
    <col min="3" max="3" width="70.625" customWidth="1"/>
    <col min="5" max="5" width="8.625" customWidth="1"/>
  </cols>
  <sheetData>
    <row r="1" spans="2:2" ht="15.75">
      <c r="B1" t="s">
        <v>135</v>
      </c>
    </row>
    <row r="2" spans="2:2" ht="15.75">
      <c r="B2" t="s">
        <v>136</v>
      </c>
    </row>
    <row r="4" spans="2:5" ht="15.75">
      <c r="B4" s="65" t="s">
        <v>137</v>
      </c>
      <c r="C4" t="s">
        <v>138</v>
      </c>
      <c r="E4">
        <v>636</v>
      </c>
    </row>
    <row r="5" spans="2:5" ht="15.75">
      <c r="B5" s="66" t="s">
        <v>139</v>
      </c>
      <c r="C5" t="s">
        <v>140</v>
      </c>
      <c r="E5">
        <v>28</v>
      </c>
    </row>
    <row r="6" spans="2:5" ht="15.75">
      <c r="B6" s="67" t="s">
        <v>141</v>
      </c>
      <c r="C6" t="s">
        <v>142</v>
      </c>
      <c r="E6">
        <v>74</v>
      </c>
    </row>
    <row r="7" spans="2:5" ht="15.75">
      <c r="B7" s="68" t="s">
        <v>143</v>
      </c>
      <c r="C7" t="s">
        <v>144</v>
      </c>
      <c r="E7">
        <v>78</v>
      </c>
    </row>
    <row r="8" spans="2:5" ht="15.75">
      <c r="B8" s="69" t="s">
        <v>145</v>
      </c>
      <c r="C8" t="s">
        <v>146</v>
      </c>
      <c r="E8">
        <v>0</v>
      </c>
    </row>
    <row r="9" spans="2:5" ht="15.75">
      <c r="B9" s="70" t="s">
        <v>147</v>
      </c>
      <c r="C9" t="s">
        <v>148</v>
      </c>
      <c r="E9">
        <v>6</v>
      </c>
    </row>
    <row r="11" spans="2:2" ht="15.75">
      <c r="B11" t="s">
        <v>149</v>
      </c>
    </row>
    <row r="12" spans="2:2" ht="15.75">
      <c r="B12" t="s">
        <v>150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F06BC18-1108-36BF-70A8-0DC0A495D372}">
  <dimension ref="A1:M50"/>
  <sheetViews>
    <sheetView showGridLines="0" tabSelected="1" workbookViewId="0" topLeftCell="B2">
      <selection pane="topLeft" activeCell="C48" sqref="C48"/>
    </sheetView>
  </sheetViews>
  <sheetFormatPr defaultColWidth="7.755" defaultRowHeight="15" customHeight="1"/>
  <cols>
    <col min="1" max="1" width="1.5" customWidth="1"/>
    <col min="2" max="2" width="18.75" customWidth="1"/>
    <col min="3" max="3" width="21.25" customWidth="1"/>
  </cols>
  <sheetData>
    <row r="1" spans="1:13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30" customHeight="1">
      <c r="A2" s="1"/>
      <c r="B2" s="2" t="s">
        <v>0</v>
      </c>
      <c r="C2" s="2"/>
      <c r="D2" s="2"/>
      <c r="E2" s="2"/>
      <c r="F2" s="2"/>
      <c r="G2" s="2"/>
      <c r="H2" s="2"/>
      <c r="I2" s="2"/>
      <c r="J2" s="1"/>
      <c r="K2" s="1"/>
      <c r="L2" s="1"/>
      <c r="M2" s="1"/>
    </row>
    <row r="3" spans="1:13" ht="15" customHeight="1">
      <c r="A3" s="1"/>
      <c r="B3" s="3" t="s">
        <v>1</v>
      </c>
      <c r="C3" s="3"/>
      <c r="D3" s="3"/>
      <c r="E3" s="3"/>
      <c r="F3" s="3"/>
      <c r="G3" s="3"/>
      <c r="H3" s="3"/>
      <c r="I3" s="3"/>
      <c r="J3" s="1"/>
      <c r="K3" s="1"/>
      <c r="L3" s="1"/>
      <c r="M3" s="1"/>
    </row>
    <row r="4" spans="1:1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15" customHeight="1">
      <c r="A6" s="1"/>
      <c r="B6" s="4" t="s">
        <v>2</v>
      </c>
      <c r="C6" s="63" t="s">
        <v>3</v>
      </c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ht="15" customHeight="1">
      <c r="A7" s="1"/>
      <c r="B7" s="4" t="s">
        <v>4</v>
      </c>
      <c r="C7" s="64">
        <v>46203</v>
      </c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5" customHeight="1">
      <c r="A8" s="1"/>
      <c r="B8" s="4" t="s">
        <v>5</v>
      </c>
      <c r="C8" s="5" t="s">
        <v>6</v>
      </c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ht="15" customHeight="1">
      <c r="A9" s="1"/>
      <c r="B9" s="4" t="s">
        <v>7</v>
      </c>
      <c r="C9" s="63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 ht="15" customHeight="1">
      <c r="A10" s="1"/>
      <c r="B10" s="4" t="s">
        <v>8</v>
      </c>
      <c r="C10" s="63" t="s">
        <v>9</v>
      </c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 ht="15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1"/>
      <c r="K13" s="1"/>
      <c r="L13" s="1"/>
      <c r="M13" s="1"/>
    </row>
    <row r="14" spans="1:13" ht="15" customHeight="1">
      <c r="A14" s="1"/>
      <c r="B14" s="1" t="s">
        <v>11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 ht="15" customHeight="1">
      <c r="A15" s="1"/>
      <c r="B15" s="1" t="s">
        <v>12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3" ht="15" customHeight="1">
      <c r="A16" s="1"/>
      <c r="B16" s="1" t="s">
        <v>13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 ht="15" customHeight="1">
      <c r="A17" s="1"/>
      <c r="B17" s="1" t="s">
        <v>14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ht="15" customHeight="1">
      <c r="A18" s="1"/>
      <c r="B18" s="1" t="s">
        <v>15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ht="15" customHeight="1">
      <c r="A19" s="1"/>
      <c r="B19" s="1" t="s">
        <v>16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 ht="15" customHeight="1">
      <c r="A21" s="1"/>
      <c r="B21" s="8" t="s">
        <v>17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3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3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1:13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</sheetData>
  <sheetProtection sheet="1" autoFilter="0"/>
  <dataValidations count="2">
    <dataValidation type="list" allowBlank="1" showInputMessage="1" showErrorMessage="1" sqref="C6">
      <formula1>Config!$B$11:$B$15</formula1>
    </dataValidation>
    <dataValidation type="list" allowBlank="1" showInputMessage="1" showErrorMessage="1" sqref="C8">
      <formula1>Config!$B$25:$B$27</formula1>
    </dataValidation>
  </dataValidations>
  <pageMargins left="0.7" right="0.7" top="0.75" bottom="0.75" header="0.3" footer="0.3"/>
  <pageSetup orientation="portrait" paperSize="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7DDAAB8-7B73-A3A8-8848-9045C97CAEBA}">
  <dimension ref="A1:AB50"/>
  <sheetViews>
    <sheetView showGridLines="0" workbookViewId="0" topLeftCell="A1">
      <selection pane="topLeft" activeCell="B38" sqref="B38"/>
    </sheetView>
  </sheetViews>
  <sheetFormatPr defaultColWidth="7.755" defaultRowHeight="15" customHeight="1"/>
  <cols>
    <col min="1" max="1" width="1.5" customWidth="1"/>
    <col min="2" max="2" width="26.25" customWidth="1"/>
    <col min="15" max="15" width="1.75" customWidth="1"/>
  </cols>
  <sheetData>
    <row r="1" spans="1:28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21" customHeight="1">
      <c r="A2" s="1"/>
      <c r="B2" s="9" t="s">
        <v>18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1"/>
    </row>
    <row r="3" spans="1:28" ht="15" customHeight="1">
      <c r="A3" s="1"/>
      <c r="B3" s="8" t="str">
        <f>ReportingEntity&amp;"  |  As of "&amp;TEXT(AsOfDate,"dd mmm yyyy")&amp;"  |  "&amp;Cover!C8</f>
        <v>Group (Consolidated)  |  As of 30 Jun 2026  |  €m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1"/>
    </row>
    <row r="4" spans="1:28" ht="15" customHeight="1">
      <c r="A4" s="1"/>
      <c r="B4" s="1"/>
      <c r="C4" s="43" t="s">
        <v>19</v>
      </c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1"/>
      <c r="P4" s="44" t="s">
        <v>20</v>
      </c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1"/>
    </row>
    <row r="5" spans="1:28" ht="15" customHeight="1">
      <c r="A5" s="1"/>
      <c r="B5" s="1"/>
      <c r="C5" s="10" cm="1">
        <f t="array" ref="C5">Config!$C$6</f>
        <v>45839</v>
      </c>
      <c r="D5" s="10">
        <f t="shared" si="0" ref="D5:AA5">EDATE(C5,1)</f>
        <v>45870</v>
      </c>
      <c r="E5" s="10">
        <f t="shared" si="0"/>
        <v>45901</v>
      </c>
      <c r="F5" s="10">
        <f t="shared" si="0"/>
        <v>45931</v>
      </c>
      <c r="G5" s="10">
        <f t="shared" si="0"/>
        <v>45962</v>
      </c>
      <c r="H5" s="10">
        <f t="shared" si="0"/>
        <v>45992</v>
      </c>
      <c r="I5" s="10">
        <f t="shared" si="0"/>
        <v>46023</v>
      </c>
      <c r="J5" s="10">
        <f t="shared" si="0"/>
        <v>46054</v>
      </c>
      <c r="K5" s="10">
        <f t="shared" si="0"/>
        <v>46082</v>
      </c>
      <c r="L5" s="10">
        <f t="shared" si="0"/>
        <v>46113</v>
      </c>
      <c r="M5" s="10">
        <f t="shared" si="0"/>
        <v>46143</v>
      </c>
      <c r="N5" s="10">
        <f t="shared" si="0"/>
        <v>46174</v>
      </c>
      <c r="O5" s="1"/>
      <c r="P5" s="10" cm="1">
        <f t="array" ref="P5">C5</f>
        <v>45839</v>
      </c>
      <c r="Q5" s="10">
        <f t="shared" si="0"/>
        <v>45870</v>
      </c>
      <c r="R5" s="10">
        <f t="shared" si="0"/>
        <v>45901</v>
      </c>
      <c r="S5" s="10">
        <f t="shared" si="0"/>
        <v>45931</v>
      </c>
      <c r="T5" s="10">
        <f t="shared" si="0"/>
        <v>45962</v>
      </c>
      <c r="U5" s="10">
        <f t="shared" si="0"/>
        <v>45992</v>
      </c>
      <c r="V5" s="10">
        <f t="shared" si="0"/>
        <v>46023</v>
      </c>
      <c r="W5" s="10">
        <f t="shared" si="0"/>
        <v>46054</v>
      </c>
      <c r="X5" s="10">
        <f t="shared" si="0"/>
        <v>46082</v>
      </c>
      <c r="Y5" s="10">
        <f t="shared" si="0"/>
        <v>46113</v>
      </c>
      <c r="Z5" s="10">
        <f t="shared" si="0"/>
        <v>46143</v>
      </c>
      <c r="AA5" s="10">
        <f t="shared" si="0"/>
        <v>46174</v>
      </c>
      <c r="AB5" s="1"/>
    </row>
    <row r="6" spans="1:28" ht="15" customHeight="1">
      <c r="A6" s="1"/>
      <c r="B6" s="11" t="s">
        <v>21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"/>
    </row>
    <row r="7" spans="1:28" ht="15" customHeight="1">
      <c r="A7" s="1"/>
      <c r="B7" s="12" t="s">
        <v>22</v>
      </c>
      <c r="C7" s="46">
        <v>1</v>
      </c>
      <c r="D7" s="46">
        <v>1</v>
      </c>
      <c r="E7" s="46">
        <v>1</v>
      </c>
      <c r="F7" s="46">
        <v>1</v>
      </c>
      <c r="G7" s="46">
        <v>1</v>
      </c>
      <c r="H7" s="46">
        <v>1</v>
      </c>
      <c r="I7" s="46">
        <v>1</v>
      </c>
      <c r="J7" s="46">
        <v>1</v>
      </c>
      <c r="K7" s="46">
        <v>1</v>
      </c>
      <c r="L7" s="46">
        <v>1</v>
      </c>
      <c r="M7" s="46">
        <v>1</v>
      </c>
      <c r="N7" s="46">
        <v>1</v>
      </c>
      <c r="O7" s="47">
        <v>1</v>
      </c>
      <c r="P7" s="46">
        <v>1</v>
      </c>
      <c r="Q7" s="46">
        <v>1</v>
      </c>
      <c r="R7" s="46">
        <v>1</v>
      </c>
      <c r="S7" s="46">
        <v>1</v>
      </c>
      <c r="T7" s="46">
        <v>1</v>
      </c>
      <c r="U7" s="46">
        <v>1</v>
      </c>
      <c r="V7" s="46">
        <v>1</v>
      </c>
      <c r="W7" s="46">
        <v>1</v>
      </c>
      <c r="X7" s="46">
        <v>1</v>
      </c>
      <c r="Y7" s="46">
        <v>1</v>
      </c>
      <c r="Z7" s="46">
        <v>1</v>
      </c>
      <c r="AA7" s="46">
        <v>1</v>
      </c>
      <c r="AB7" s="1"/>
    </row>
    <row r="8" spans="1:28" ht="15" customHeight="1">
      <c r="A8" s="1"/>
      <c r="B8" s="12" t="s">
        <v>23</v>
      </c>
      <c r="C8" s="46">
        <v>1</v>
      </c>
      <c r="D8" s="46">
        <v>1</v>
      </c>
      <c r="E8" s="46">
        <v>1</v>
      </c>
      <c r="F8" s="46">
        <v>1</v>
      </c>
      <c r="G8" s="46">
        <v>1</v>
      </c>
      <c r="H8" s="46">
        <v>1</v>
      </c>
      <c r="I8" s="46">
        <v>1</v>
      </c>
      <c r="J8" s="46">
        <v>1</v>
      </c>
      <c r="K8" s="46">
        <v>1</v>
      </c>
      <c r="L8" s="46">
        <v>1</v>
      </c>
      <c r="M8" s="46">
        <v>1</v>
      </c>
      <c r="N8" s="46">
        <v>1</v>
      </c>
      <c r="O8" s="47">
        <v>1</v>
      </c>
      <c r="P8" s="46">
        <v>1</v>
      </c>
      <c r="Q8" s="46">
        <v>1</v>
      </c>
      <c r="R8" s="46">
        <v>1</v>
      </c>
      <c r="S8" s="46">
        <v>1</v>
      </c>
      <c r="T8" s="46">
        <v>1</v>
      </c>
      <c r="U8" s="46">
        <v>1</v>
      </c>
      <c r="V8" s="46">
        <v>1</v>
      </c>
      <c r="W8" s="46">
        <v>1</v>
      </c>
      <c r="X8" s="46">
        <v>1</v>
      </c>
      <c r="Y8" s="46">
        <v>1</v>
      </c>
      <c r="Z8" s="46">
        <v>1</v>
      </c>
      <c r="AA8" s="46">
        <v>1</v>
      </c>
      <c r="AB8" s="1"/>
    </row>
    <row r="9" spans="1:28" ht="15" customHeight="1">
      <c r="A9" s="1"/>
      <c r="B9" s="12" t="s">
        <v>24</v>
      </c>
      <c r="C9" s="48">
        <v>1</v>
      </c>
      <c r="D9" s="48">
        <v>1</v>
      </c>
      <c r="E9" s="48">
        <v>1</v>
      </c>
      <c r="F9" s="48">
        <v>1</v>
      </c>
      <c r="G9" s="48">
        <v>1</v>
      </c>
      <c r="H9" s="48">
        <v>1</v>
      </c>
      <c r="I9" s="48">
        <v>1</v>
      </c>
      <c r="J9" s="48">
        <v>1</v>
      </c>
      <c r="K9" s="48">
        <v>1</v>
      </c>
      <c r="L9" s="48">
        <v>1</v>
      </c>
      <c r="M9" s="48">
        <v>1</v>
      </c>
      <c r="N9" s="48">
        <v>1</v>
      </c>
      <c r="O9" s="49">
        <v>1</v>
      </c>
      <c r="P9" s="48">
        <v>1</v>
      </c>
      <c r="Q9" s="48">
        <v>1</v>
      </c>
      <c r="R9" s="48">
        <v>1</v>
      </c>
      <c r="S9" s="48">
        <v>1</v>
      </c>
      <c r="T9" s="48">
        <v>1</v>
      </c>
      <c r="U9" s="48">
        <v>1</v>
      </c>
      <c r="V9" s="48">
        <v>1</v>
      </c>
      <c r="W9" s="48">
        <v>1</v>
      </c>
      <c r="X9" s="48">
        <v>1</v>
      </c>
      <c r="Y9" s="48">
        <v>1</v>
      </c>
      <c r="Z9" s="48">
        <v>1</v>
      </c>
      <c r="AA9" s="48">
        <v>1</v>
      </c>
      <c r="AB9" s="1"/>
    </row>
    <row r="10" spans="1:28" ht="15" customHeight="1">
      <c r="A10" s="1"/>
      <c r="B10" s="14" t="s">
        <v>25</v>
      </c>
      <c r="C10" s="15">
        <f t="shared" si="1" ref="C10:AA21">SUM(C7:C9)</f>
        <v>3</v>
      </c>
      <c r="D10" s="15">
        <f t="shared" si="1"/>
        <v>3</v>
      </c>
      <c r="E10" s="15">
        <f t="shared" si="1"/>
        <v>3</v>
      </c>
      <c r="F10" s="15">
        <f t="shared" si="1"/>
        <v>3</v>
      </c>
      <c r="G10" s="15">
        <f t="shared" si="1"/>
        <v>3</v>
      </c>
      <c r="H10" s="15">
        <f t="shared" si="1"/>
        <v>3</v>
      </c>
      <c r="I10" s="15">
        <f t="shared" si="1"/>
        <v>3</v>
      </c>
      <c r="J10" s="15">
        <f t="shared" si="1"/>
        <v>3</v>
      </c>
      <c r="K10" s="15">
        <f t="shared" si="1"/>
        <v>3</v>
      </c>
      <c r="L10" s="15">
        <f t="shared" si="1"/>
        <v>3</v>
      </c>
      <c r="M10" s="15">
        <f t="shared" si="1"/>
        <v>3</v>
      </c>
      <c r="N10" s="15">
        <f t="shared" si="1"/>
        <v>3</v>
      </c>
      <c r="O10" s="14"/>
      <c r="P10" s="15">
        <f t="shared" si="1"/>
        <v>3</v>
      </c>
      <c r="Q10" s="15">
        <f t="shared" si="1"/>
        <v>3</v>
      </c>
      <c r="R10" s="15">
        <f t="shared" si="1"/>
        <v>3</v>
      </c>
      <c r="S10" s="15">
        <f t="shared" si="1"/>
        <v>3</v>
      </c>
      <c r="T10" s="15">
        <f t="shared" si="1"/>
        <v>3</v>
      </c>
      <c r="U10" s="15">
        <f t="shared" si="1"/>
        <v>3</v>
      </c>
      <c r="V10" s="15">
        <f t="shared" si="1"/>
        <v>3</v>
      </c>
      <c r="W10" s="15">
        <f t="shared" si="1"/>
        <v>3</v>
      </c>
      <c r="X10" s="15">
        <f t="shared" si="1"/>
        <v>3</v>
      </c>
      <c r="Y10" s="15">
        <f t="shared" si="1"/>
        <v>3</v>
      </c>
      <c r="Z10" s="15">
        <f t="shared" si="1"/>
        <v>3</v>
      </c>
      <c r="AA10" s="15">
        <f t="shared" si="1"/>
        <v>3</v>
      </c>
      <c r="AB10" s="1"/>
    </row>
    <row r="11" spans="1:28" ht="15" customHeight="1">
      <c r="A11" s="1"/>
      <c r="B11" s="11" t="s">
        <v>26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"/>
    </row>
    <row r="12" spans="1:28" ht="15" customHeight="1">
      <c r="A12" s="1"/>
      <c r="B12" s="12" t="s">
        <v>27</v>
      </c>
      <c r="C12" s="46">
        <v>1</v>
      </c>
      <c r="D12" s="46">
        <v>1</v>
      </c>
      <c r="E12" s="46">
        <v>1</v>
      </c>
      <c r="F12" s="46">
        <v>1</v>
      </c>
      <c r="G12" s="46">
        <v>1</v>
      </c>
      <c r="H12" s="46">
        <v>1</v>
      </c>
      <c r="I12" s="46">
        <v>1</v>
      </c>
      <c r="J12" s="46">
        <v>1</v>
      </c>
      <c r="K12" s="46">
        <v>1</v>
      </c>
      <c r="L12" s="46">
        <v>1</v>
      </c>
      <c r="M12" s="46">
        <v>1</v>
      </c>
      <c r="N12" s="46">
        <v>1</v>
      </c>
      <c r="O12" s="47">
        <v>1</v>
      </c>
      <c r="P12" s="46">
        <v>1</v>
      </c>
      <c r="Q12" s="46">
        <v>1</v>
      </c>
      <c r="R12" s="46">
        <v>1</v>
      </c>
      <c r="S12" s="46">
        <v>1</v>
      </c>
      <c r="T12" s="46">
        <v>1</v>
      </c>
      <c r="U12" s="46">
        <v>1</v>
      </c>
      <c r="V12" s="46">
        <v>1</v>
      </c>
      <c r="W12" s="46">
        <v>1</v>
      </c>
      <c r="X12" s="46">
        <v>1</v>
      </c>
      <c r="Y12" s="46">
        <v>1</v>
      </c>
      <c r="Z12" s="46">
        <v>1</v>
      </c>
      <c r="AA12" s="46">
        <v>1</v>
      </c>
      <c r="AB12" s="1"/>
    </row>
    <row r="13" spans="1:28" ht="15" customHeight="1">
      <c r="A13" s="1"/>
      <c r="B13" s="12" t="s">
        <v>28</v>
      </c>
      <c r="C13" s="46">
        <v>1</v>
      </c>
      <c r="D13" s="46">
        <v>1</v>
      </c>
      <c r="E13" s="46">
        <v>1</v>
      </c>
      <c r="F13" s="46">
        <v>1</v>
      </c>
      <c r="G13" s="46">
        <v>1</v>
      </c>
      <c r="H13" s="46">
        <v>1</v>
      </c>
      <c r="I13" s="46">
        <v>1</v>
      </c>
      <c r="J13" s="46">
        <v>1</v>
      </c>
      <c r="K13" s="46">
        <v>1</v>
      </c>
      <c r="L13" s="46">
        <v>1</v>
      </c>
      <c r="M13" s="46">
        <v>1</v>
      </c>
      <c r="N13" s="46">
        <v>1</v>
      </c>
      <c r="O13" s="47">
        <v>1</v>
      </c>
      <c r="P13" s="46">
        <v>1</v>
      </c>
      <c r="Q13" s="46">
        <v>1</v>
      </c>
      <c r="R13" s="46">
        <v>1</v>
      </c>
      <c r="S13" s="46">
        <v>1</v>
      </c>
      <c r="T13" s="46">
        <v>1</v>
      </c>
      <c r="U13" s="46">
        <v>1</v>
      </c>
      <c r="V13" s="46">
        <v>1</v>
      </c>
      <c r="W13" s="46">
        <v>1</v>
      </c>
      <c r="X13" s="46">
        <v>1</v>
      </c>
      <c r="Y13" s="46">
        <v>1</v>
      </c>
      <c r="Z13" s="46">
        <v>1</v>
      </c>
      <c r="AA13" s="46">
        <v>1</v>
      </c>
      <c r="AB13" s="1"/>
    </row>
    <row r="14" spans="1:28" ht="15" customHeight="1">
      <c r="A14" s="1"/>
      <c r="B14" s="12" t="s">
        <v>29</v>
      </c>
      <c r="C14" s="48">
        <v>1</v>
      </c>
      <c r="D14" s="48">
        <v>1</v>
      </c>
      <c r="E14" s="48">
        <v>1</v>
      </c>
      <c r="F14" s="48">
        <v>1</v>
      </c>
      <c r="G14" s="48">
        <v>1</v>
      </c>
      <c r="H14" s="48">
        <v>1</v>
      </c>
      <c r="I14" s="48">
        <v>1</v>
      </c>
      <c r="J14" s="48">
        <v>1</v>
      </c>
      <c r="K14" s="48">
        <v>1</v>
      </c>
      <c r="L14" s="48">
        <v>1</v>
      </c>
      <c r="M14" s="48">
        <v>1</v>
      </c>
      <c r="N14" s="48">
        <v>1</v>
      </c>
      <c r="O14" s="49">
        <v>1</v>
      </c>
      <c r="P14" s="48">
        <v>1</v>
      </c>
      <c r="Q14" s="48">
        <v>1</v>
      </c>
      <c r="R14" s="48">
        <v>1</v>
      </c>
      <c r="S14" s="48">
        <v>1</v>
      </c>
      <c r="T14" s="48">
        <v>1</v>
      </c>
      <c r="U14" s="48">
        <v>1</v>
      </c>
      <c r="V14" s="48">
        <v>1</v>
      </c>
      <c r="W14" s="48">
        <v>1</v>
      </c>
      <c r="X14" s="48">
        <v>1</v>
      </c>
      <c r="Y14" s="48">
        <v>1</v>
      </c>
      <c r="Z14" s="48">
        <v>1</v>
      </c>
      <c r="AA14" s="48">
        <v>1</v>
      </c>
      <c r="AB14" s="1"/>
    </row>
    <row r="15" spans="1:28" ht="15" customHeight="1">
      <c r="A15" s="1"/>
      <c r="B15" s="14" t="s">
        <v>30</v>
      </c>
      <c r="C15" s="15">
        <f t="shared" si="1"/>
        <v>3</v>
      </c>
      <c r="D15" s="15">
        <f t="shared" si="1"/>
        <v>3</v>
      </c>
      <c r="E15" s="15">
        <f t="shared" si="1"/>
        <v>3</v>
      </c>
      <c r="F15" s="15">
        <f t="shared" si="1"/>
        <v>3</v>
      </c>
      <c r="G15" s="15">
        <f t="shared" si="1"/>
        <v>3</v>
      </c>
      <c r="H15" s="15">
        <f t="shared" si="1"/>
        <v>3</v>
      </c>
      <c r="I15" s="15">
        <f t="shared" si="1"/>
        <v>3</v>
      </c>
      <c r="J15" s="15">
        <f t="shared" si="1"/>
        <v>3</v>
      </c>
      <c r="K15" s="15">
        <f t="shared" si="1"/>
        <v>3</v>
      </c>
      <c r="L15" s="15">
        <f t="shared" si="1"/>
        <v>3</v>
      </c>
      <c r="M15" s="15">
        <f t="shared" si="1"/>
        <v>3</v>
      </c>
      <c r="N15" s="15">
        <f t="shared" si="1"/>
        <v>3</v>
      </c>
      <c r="O15" s="14"/>
      <c r="P15" s="15">
        <f t="shared" si="1"/>
        <v>3</v>
      </c>
      <c r="Q15" s="15">
        <f t="shared" si="1"/>
        <v>3</v>
      </c>
      <c r="R15" s="15">
        <f t="shared" si="1"/>
        <v>3</v>
      </c>
      <c r="S15" s="15">
        <f t="shared" si="1"/>
        <v>3</v>
      </c>
      <c r="T15" s="15">
        <f t="shared" si="1"/>
        <v>3</v>
      </c>
      <c r="U15" s="15">
        <f t="shared" si="1"/>
        <v>3</v>
      </c>
      <c r="V15" s="15">
        <f t="shared" si="1"/>
        <v>3</v>
      </c>
      <c r="W15" s="15">
        <f t="shared" si="1"/>
        <v>3</v>
      </c>
      <c r="X15" s="15">
        <f t="shared" si="1"/>
        <v>3</v>
      </c>
      <c r="Y15" s="15">
        <f t="shared" si="1"/>
        <v>3</v>
      </c>
      <c r="Z15" s="15">
        <f t="shared" si="1"/>
        <v>3</v>
      </c>
      <c r="AA15" s="15">
        <f t="shared" si="1"/>
        <v>3</v>
      </c>
      <c r="AB15" s="1"/>
    </row>
    <row r="16" spans="1:28" ht="15" customHeight="1">
      <c r="A16" s="1"/>
      <c r="B16" s="16" t="s">
        <v>31</v>
      </c>
      <c r="C16" s="17">
        <f t="shared" si="2" ref="C16:AA22">C10-C15</f>
        <v>0</v>
      </c>
      <c r="D16" s="17">
        <f t="shared" si="2"/>
        <v>0</v>
      </c>
      <c r="E16" s="17">
        <f t="shared" si="2"/>
        <v>0</v>
      </c>
      <c r="F16" s="17">
        <f t="shared" si="2"/>
        <v>0</v>
      </c>
      <c r="G16" s="17">
        <f t="shared" si="2"/>
        <v>0</v>
      </c>
      <c r="H16" s="17">
        <f t="shared" si="2"/>
        <v>0</v>
      </c>
      <c r="I16" s="17">
        <f t="shared" si="2"/>
        <v>0</v>
      </c>
      <c r="J16" s="17">
        <f t="shared" si="2"/>
        <v>0</v>
      </c>
      <c r="K16" s="17">
        <f t="shared" si="2"/>
        <v>0</v>
      </c>
      <c r="L16" s="17">
        <f t="shared" si="2"/>
        <v>0</v>
      </c>
      <c r="M16" s="17">
        <f t="shared" si="2"/>
        <v>0</v>
      </c>
      <c r="N16" s="17">
        <f t="shared" si="2"/>
        <v>0</v>
      </c>
      <c r="O16" s="16"/>
      <c r="P16" s="17">
        <f t="shared" si="2"/>
        <v>0</v>
      </c>
      <c r="Q16" s="17">
        <f t="shared" si="2"/>
        <v>0</v>
      </c>
      <c r="R16" s="17">
        <f t="shared" si="2"/>
        <v>0</v>
      </c>
      <c r="S16" s="17">
        <f t="shared" si="2"/>
        <v>0</v>
      </c>
      <c r="T16" s="17">
        <f t="shared" si="2"/>
        <v>0</v>
      </c>
      <c r="U16" s="17">
        <f t="shared" si="2"/>
        <v>0</v>
      </c>
      <c r="V16" s="17">
        <f t="shared" si="2"/>
        <v>0</v>
      </c>
      <c r="W16" s="17">
        <f t="shared" si="2"/>
        <v>0</v>
      </c>
      <c r="X16" s="17">
        <f t="shared" si="2"/>
        <v>0</v>
      </c>
      <c r="Y16" s="17">
        <f t="shared" si="2"/>
        <v>0</v>
      </c>
      <c r="Z16" s="17">
        <f t="shared" si="2"/>
        <v>0</v>
      </c>
      <c r="AA16" s="17">
        <f t="shared" si="2"/>
        <v>0</v>
      </c>
      <c r="AB16" s="1"/>
    </row>
    <row r="17" spans="1:28" ht="15" customHeight="1">
      <c r="A17" s="1"/>
      <c r="B17" s="11" t="s">
        <v>32</v>
      </c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"/>
    </row>
    <row r="18" spans="1:28" ht="15" customHeight="1">
      <c r="A18" s="1"/>
      <c r="B18" s="12" t="s">
        <v>33</v>
      </c>
      <c r="C18" s="46">
        <v>1</v>
      </c>
      <c r="D18" s="46">
        <v>1</v>
      </c>
      <c r="E18" s="46">
        <v>1</v>
      </c>
      <c r="F18" s="46">
        <v>1</v>
      </c>
      <c r="G18" s="46">
        <v>1</v>
      </c>
      <c r="H18" s="46">
        <v>1</v>
      </c>
      <c r="I18" s="46">
        <v>1</v>
      </c>
      <c r="J18" s="46">
        <v>1</v>
      </c>
      <c r="K18" s="46">
        <v>1</v>
      </c>
      <c r="L18" s="46">
        <v>1</v>
      </c>
      <c r="M18" s="46">
        <v>1</v>
      </c>
      <c r="N18" s="46">
        <v>1</v>
      </c>
      <c r="O18" s="47">
        <v>1</v>
      </c>
      <c r="P18" s="46">
        <v>1</v>
      </c>
      <c r="Q18" s="46">
        <v>1</v>
      </c>
      <c r="R18" s="46">
        <v>1</v>
      </c>
      <c r="S18" s="46">
        <v>1</v>
      </c>
      <c r="T18" s="46">
        <v>1</v>
      </c>
      <c r="U18" s="46">
        <v>1</v>
      </c>
      <c r="V18" s="46">
        <v>1</v>
      </c>
      <c r="W18" s="46">
        <v>1</v>
      </c>
      <c r="X18" s="46">
        <v>1</v>
      </c>
      <c r="Y18" s="46">
        <v>1</v>
      </c>
      <c r="Z18" s="46">
        <v>1</v>
      </c>
      <c r="AA18" s="46">
        <v>1</v>
      </c>
      <c r="AB18" s="1"/>
    </row>
    <row r="19" spans="1:28" ht="15" customHeight="1">
      <c r="A19" s="1"/>
      <c r="B19" s="12" t="s">
        <v>34</v>
      </c>
      <c r="C19" s="46">
        <v>1</v>
      </c>
      <c r="D19" s="46">
        <v>1</v>
      </c>
      <c r="E19" s="46">
        <v>1</v>
      </c>
      <c r="F19" s="46">
        <v>1</v>
      </c>
      <c r="G19" s="46">
        <v>1</v>
      </c>
      <c r="H19" s="46">
        <v>1</v>
      </c>
      <c r="I19" s="46">
        <v>1</v>
      </c>
      <c r="J19" s="46">
        <v>1</v>
      </c>
      <c r="K19" s="46">
        <v>1</v>
      </c>
      <c r="L19" s="46">
        <v>1</v>
      </c>
      <c r="M19" s="46">
        <v>1</v>
      </c>
      <c r="N19" s="46">
        <v>1</v>
      </c>
      <c r="O19" s="47">
        <v>1</v>
      </c>
      <c r="P19" s="46">
        <v>1</v>
      </c>
      <c r="Q19" s="46">
        <v>1</v>
      </c>
      <c r="R19" s="46">
        <v>1</v>
      </c>
      <c r="S19" s="46">
        <v>1</v>
      </c>
      <c r="T19" s="46">
        <v>1</v>
      </c>
      <c r="U19" s="46">
        <v>1</v>
      </c>
      <c r="V19" s="46">
        <v>1</v>
      </c>
      <c r="W19" s="46">
        <v>1</v>
      </c>
      <c r="X19" s="46">
        <v>1</v>
      </c>
      <c r="Y19" s="46">
        <v>1</v>
      </c>
      <c r="Z19" s="46">
        <v>1</v>
      </c>
      <c r="AA19" s="46">
        <v>1</v>
      </c>
      <c r="AB19" s="1"/>
    </row>
    <row r="20" spans="1:28" ht="15" customHeight="1">
      <c r="A20" s="1"/>
      <c r="B20" s="12" t="s">
        <v>35</v>
      </c>
      <c r="C20" s="48">
        <v>1</v>
      </c>
      <c r="D20" s="48">
        <v>1</v>
      </c>
      <c r="E20" s="48">
        <v>1</v>
      </c>
      <c r="F20" s="48">
        <v>1</v>
      </c>
      <c r="G20" s="48">
        <v>1</v>
      </c>
      <c r="H20" s="48">
        <v>1</v>
      </c>
      <c r="I20" s="48">
        <v>1</v>
      </c>
      <c r="J20" s="48">
        <v>1</v>
      </c>
      <c r="K20" s="48">
        <v>1</v>
      </c>
      <c r="L20" s="48">
        <v>1</v>
      </c>
      <c r="M20" s="48">
        <v>1</v>
      </c>
      <c r="N20" s="48">
        <v>1</v>
      </c>
      <c r="O20" s="49">
        <v>1</v>
      </c>
      <c r="P20" s="48">
        <v>1</v>
      </c>
      <c r="Q20" s="48">
        <v>1</v>
      </c>
      <c r="R20" s="48">
        <v>1</v>
      </c>
      <c r="S20" s="48">
        <v>1</v>
      </c>
      <c r="T20" s="48">
        <v>1</v>
      </c>
      <c r="U20" s="48">
        <v>1</v>
      </c>
      <c r="V20" s="48">
        <v>1</v>
      </c>
      <c r="W20" s="48">
        <v>1</v>
      </c>
      <c r="X20" s="48">
        <v>1</v>
      </c>
      <c r="Y20" s="48">
        <v>1</v>
      </c>
      <c r="Z20" s="48">
        <v>1</v>
      </c>
      <c r="AA20" s="48">
        <v>1</v>
      </c>
      <c r="AB20" s="1"/>
    </row>
    <row r="21" spans="1:28" ht="15" customHeight="1">
      <c r="A21" s="1"/>
      <c r="B21" s="14" t="s">
        <v>36</v>
      </c>
      <c r="C21" s="15">
        <f t="shared" si="1"/>
        <v>3</v>
      </c>
      <c r="D21" s="15">
        <f t="shared" si="1"/>
        <v>3</v>
      </c>
      <c r="E21" s="15">
        <f t="shared" si="1"/>
        <v>3</v>
      </c>
      <c r="F21" s="15">
        <f t="shared" si="1"/>
        <v>3</v>
      </c>
      <c r="G21" s="15">
        <f t="shared" si="1"/>
        <v>3</v>
      </c>
      <c r="H21" s="15">
        <f t="shared" si="1"/>
        <v>3</v>
      </c>
      <c r="I21" s="15">
        <f t="shared" si="1"/>
        <v>3</v>
      </c>
      <c r="J21" s="15">
        <f t="shared" si="1"/>
        <v>3</v>
      </c>
      <c r="K21" s="15">
        <f t="shared" si="1"/>
        <v>3</v>
      </c>
      <c r="L21" s="15">
        <f t="shared" si="1"/>
        <v>3</v>
      </c>
      <c r="M21" s="15">
        <f t="shared" si="1"/>
        <v>3</v>
      </c>
      <c r="N21" s="15">
        <f t="shared" si="1"/>
        <v>3</v>
      </c>
      <c r="O21" s="14"/>
      <c r="P21" s="15">
        <f t="shared" si="1"/>
        <v>3</v>
      </c>
      <c r="Q21" s="15">
        <f t="shared" si="1"/>
        <v>3</v>
      </c>
      <c r="R21" s="15">
        <f t="shared" si="1"/>
        <v>3</v>
      </c>
      <c r="S21" s="15">
        <f t="shared" si="1"/>
        <v>3</v>
      </c>
      <c r="T21" s="15">
        <f t="shared" si="1"/>
        <v>3</v>
      </c>
      <c r="U21" s="15">
        <f t="shared" si="1"/>
        <v>3</v>
      </c>
      <c r="V21" s="15">
        <f t="shared" si="1"/>
        <v>3</v>
      </c>
      <c r="W21" s="15">
        <f t="shared" si="1"/>
        <v>3</v>
      </c>
      <c r="X21" s="15">
        <f t="shared" si="1"/>
        <v>3</v>
      </c>
      <c r="Y21" s="15">
        <f t="shared" si="1"/>
        <v>3</v>
      </c>
      <c r="Z21" s="15">
        <f t="shared" si="1"/>
        <v>3</v>
      </c>
      <c r="AA21" s="15">
        <f t="shared" si="1"/>
        <v>3</v>
      </c>
      <c r="AB21" s="1"/>
    </row>
    <row r="22" spans="1:28" ht="15" customHeight="1" thickBot="1">
      <c r="A22" s="1"/>
      <c r="B22" s="18" t="s">
        <v>37</v>
      </c>
      <c r="C22" s="19">
        <f t="shared" si="2"/>
        <v>-3</v>
      </c>
      <c r="D22" s="19">
        <f t="shared" si="2"/>
        <v>-3</v>
      </c>
      <c r="E22" s="19">
        <f t="shared" si="2"/>
        <v>-3</v>
      </c>
      <c r="F22" s="19">
        <f t="shared" si="2"/>
        <v>-3</v>
      </c>
      <c r="G22" s="19">
        <f t="shared" si="2"/>
        <v>-3</v>
      </c>
      <c r="H22" s="19">
        <f t="shared" si="2"/>
        <v>-3</v>
      </c>
      <c r="I22" s="19">
        <f t="shared" si="2"/>
        <v>-3</v>
      </c>
      <c r="J22" s="19">
        <f t="shared" si="2"/>
        <v>-3</v>
      </c>
      <c r="K22" s="19">
        <f t="shared" si="2"/>
        <v>-3</v>
      </c>
      <c r="L22" s="19">
        <f t="shared" si="2"/>
        <v>-3</v>
      </c>
      <c r="M22" s="19">
        <f t="shared" si="2"/>
        <v>-3</v>
      </c>
      <c r="N22" s="19">
        <f t="shared" si="2"/>
        <v>-3</v>
      </c>
      <c r="O22" s="18"/>
      <c r="P22" s="19">
        <f t="shared" si="2"/>
        <v>-3</v>
      </c>
      <c r="Q22" s="19">
        <f t="shared" si="2"/>
        <v>-3</v>
      </c>
      <c r="R22" s="19">
        <f t="shared" si="2"/>
        <v>-3</v>
      </c>
      <c r="S22" s="19">
        <f t="shared" si="2"/>
        <v>-3</v>
      </c>
      <c r="T22" s="19">
        <f t="shared" si="2"/>
        <v>-3</v>
      </c>
      <c r="U22" s="19">
        <f t="shared" si="2"/>
        <v>-3</v>
      </c>
      <c r="V22" s="19">
        <f t="shared" si="2"/>
        <v>-3</v>
      </c>
      <c r="W22" s="19">
        <f t="shared" si="2"/>
        <v>-3</v>
      </c>
      <c r="X22" s="19">
        <f t="shared" si="2"/>
        <v>-3</v>
      </c>
      <c r="Y22" s="19">
        <f t="shared" si="2"/>
        <v>-3</v>
      </c>
      <c r="Z22" s="19">
        <f t="shared" si="2"/>
        <v>-3</v>
      </c>
      <c r="AA22" s="19">
        <f t="shared" si="2"/>
        <v>-3</v>
      </c>
      <c r="AB22" s="1"/>
    </row>
    <row r="23" spans="1:28" ht="15" customHeight="1" thickTop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15" customHeight="1">
      <c r="A24" s="1"/>
      <c r="B24" s="11" t="s">
        <v>38</v>
      </c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"/>
    </row>
    <row r="25" spans="1:28" ht="15" customHeight="1">
      <c r="A25" s="1"/>
      <c r="B25" s="16" t="s">
        <v>39</v>
      </c>
      <c r="C25" s="17" cm="1">
        <f t="array" ref="C25">C22</f>
        <v>-3</v>
      </c>
      <c r="D25" s="17" cm="1">
        <f t="array" ref="D25">D22</f>
        <v>-3</v>
      </c>
      <c r="E25" s="17" cm="1">
        <f t="array" ref="E25">E22</f>
        <v>-3</v>
      </c>
      <c r="F25" s="17" cm="1">
        <f t="array" ref="F25">F22</f>
        <v>-3</v>
      </c>
      <c r="G25" s="17" cm="1">
        <f t="array" ref="G25">G22</f>
        <v>-3</v>
      </c>
      <c r="H25" s="17" cm="1">
        <f t="array" ref="H25">H22</f>
        <v>-3</v>
      </c>
      <c r="I25" s="17" cm="1">
        <f t="array" ref="I25">I22</f>
        <v>-3</v>
      </c>
      <c r="J25" s="17" cm="1">
        <f t="array" ref="J25">J22</f>
        <v>-3</v>
      </c>
      <c r="K25" s="17" cm="1">
        <f t="array" ref="K25">K22</f>
        <v>-3</v>
      </c>
      <c r="L25" s="17" cm="1">
        <f t="array" ref="L25">L22</f>
        <v>-3</v>
      </c>
      <c r="M25" s="17" cm="1">
        <f t="array" ref="M25">M22</f>
        <v>-3</v>
      </c>
      <c r="N25" s="17" cm="1">
        <f t="array" ref="N25">N22</f>
        <v>-3</v>
      </c>
      <c r="O25" s="16"/>
      <c r="P25" s="17" cm="1">
        <f t="array" ref="P25">P22</f>
        <v>-3</v>
      </c>
      <c r="Q25" s="17" cm="1">
        <f t="array" ref="Q25">Q22</f>
        <v>-3</v>
      </c>
      <c r="R25" s="17" cm="1">
        <f t="array" ref="R25">R22</f>
        <v>-3</v>
      </c>
      <c r="S25" s="17" cm="1">
        <f t="array" ref="S25">S22</f>
        <v>-3</v>
      </c>
      <c r="T25" s="17" cm="1">
        <f t="array" ref="T25">T22</f>
        <v>-3</v>
      </c>
      <c r="U25" s="17" cm="1">
        <f t="array" ref="U25">U22</f>
        <v>-3</v>
      </c>
      <c r="V25" s="17" cm="1">
        <f t="array" ref="V25">V22</f>
        <v>-3</v>
      </c>
      <c r="W25" s="17" cm="1">
        <f t="array" ref="W25">W22</f>
        <v>-3</v>
      </c>
      <c r="X25" s="17" cm="1">
        <f t="array" ref="X25">X22</f>
        <v>-3</v>
      </c>
      <c r="Y25" s="17" cm="1">
        <f t="array" ref="Y25">Y22</f>
        <v>-3</v>
      </c>
      <c r="Z25" s="17" cm="1">
        <f t="array" ref="Z25">Z22</f>
        <v>-3</v>
      </c>
      <c r="AA25" s="17" cm="1">
        <f t="array" ref="AA25">AA22</f>
        <v>-3</v>
      </c>
      <c r="AB25" s="1"/>
    </row>
    <row r="26" spans="1:28" ht="15" customHeight="1">
      <c r="A26" s="1"/>
      <c r="B26" s="50">
        <v>2</v>
      </c>
      <c r="C26" s="46">
        <v>1</v>
      </c>
      <c r="D26" s="46">
        <v>1</v>
      </c>
      <c r="E26" s="46">
        <v>1</v>
      </c>
      <c r="F26" s="46">
        <v>1</v>
      </c>
      <c r="G26" s="46">
        <v>1</v>
      </c>
      <c r="H26" s="46">
        <v>1</v>
      </c>
      <c r="I26" s="46">
        <v>1</v>
      </c>
      <c r="J26" s="46">
        <v>1</v>
      </c>
      <c r="K26" s="46">
        <v>1</v>
      </c>
      <c r="L26" s="46">
        <v>1</v>
      </c>
      <c r="M26" s="46">
        <v>1</v>
      </c>
      <c r="N26" s="46">
        <v>1</v>
      </c>
      <c r="O26" s="47">
        <v>1</v>
      </c>
      <c r="P26" s="46">
        <v>1</v>
      </c>
      <c r="Q26" s="46">
        <v>1</v>
      </c>
      <c r="R26" s="46">
        <v>1</v>
      </c>
      <c r="S26" s="46">
        <v>1</v>
      </c>
      <c r="T26" s="46">
        <v>1</v>
      </c>
      <c r="U26" s="46">
        <v>1</v>
      </c>
      <c r="V26" s="46">
        <v>1</v>
      </c>
      <c r="W26" s="46">
        <v>1</v>
      </c>
      <c r="X26" s="46">
        <v>1</v>
      </c>
      <c r="Y26" s="46">
        <v>1</v>
      </c>
      <c r="Z26" s="46">
        <v>1</v>
      </c>
      <c r="AA26" s="46">
        <v>1</v>
      </c>
      <c r="AB26" s="1"/>
    </row>
    <row r="27" spans="1:28" ht="15" customHeight="1">
      <c r="A27" s="1"/>
      <c r="B27" s="50">
        <v>2</v>
      </c>
      <c r="C27" s="46">
        <v>1</v>
      </c>
      <c r="D27" s="46">
        <v>1</v>
      </c>
      <c r="E27" s="46">
        <v>1</v>
      </c>
      <c r="F27" s="46">
        <v>1</v>
      </c>
      <c r="G27" s="46">
        <v>1</v>
      </c>
      <c r="H27" s="46">
        <v>1</v>
      </c>
      <c r="I27" s="46">
        <v>1</v>
      </c>
      <c r="J27" s="46">
        <v>1</v>
      </c>
      <c r="K27" s="46">
        <v>1</v>
      </c>
      <c r="L27" s="46">
        <v>1</v>
      </c>
      <c r="M27" s="46">
        <v>1</v>
      </c>
      <c r="N27" s="46">
        <v>1</v>
      </c>
      <c r="O27" s="47">
        <v>1</v>
      </c>
      <c r="P27" s="46">
        <v>1</v>
      </c>
      <c r="Q27" s="46">
        <v>1</v>
      </c>
      <c r="R27" s="46">
        <v>1</v>
      </c>
      <c r="S27" s="46">
        <v>1</v>
      </c>
      <c r="T27" s="46">
        <v>1</v>
      </c>
      <c r="U27" s="46">
        <v>1</v>
      </c>
      <c r="V27" s="46">
        <v>1</v>
      </c>
      <c r="W27" s="46">
        <v>1</v>
      </c>
      <c r="X27" s="46">
        <v>1</v>
      </c>
      <c r="Y27" s="46">
        <v>1</v>
      </c>
      <c r="Z27" s="46">
        <v>1</v>
      </c>
      <c r="AA27" s="46">
        <v>1</v>
      </c>
      <c r="AB27" s="1"/>
    </row>
    <row r="28" spans="1:28" ht="15" customHeight="1">
      <c r="A28" s="1"/>
      <c r="B28" s="50">
        <v>2</v>
      </c>
      <c r="C28" s="46">
        <v>1</v>
      </c>
      <c r="D28" s="46">
        <v>1</v>
      </c>
      <c r="E28" s="46">
        <v>1</v>
      </c>
      <c r="F28" s="46">
        <v>1</v>
      </c>
      <c r="G28" s="46">
        <v>1</v>
      </c>
      <c r="H28" s="46">
        <v>1</v>
      </c>
      <c r="I28" s="46">
        <v>1</v>
      </c>
      <c r="J28" s="46">
        <v>1</v>
      </c>
      <c r="K28" s="46">
        <v>1</v>
      </c>
      <c r="L28" s="46">
        <v>1</v>
      </c>
      <c r="M28" s="46">
        <v>1</v>
      </c>
      <c r="N28" s="46">
        <v>1</v>
      </c>
      <c r="O28" s="47">
        <v>1</v>
      </c>
      <c r="P28" s="46">
        <v>1</v>
      </c>
      <c r="Q28" s="46">
        <v>1</v>
      </c>
      <c r="R28" s="46">
        <v>1</v>
      </c>
      <c r="S28" s="46">
        <v>1</v>
      </c>
      <c r="T28" s="46">
        <v>1</v>
      </c>
      <c r="U28" s="46">
        <v>1</v>
      </c>
      <c r="V28" s="46">
        <v>1</v>
      </c>
      <c r="W28" s="46">
        <v>1</v>
      </c>
      <c r="X28" s="46">
        <v>1</v>
      </c>
      <c r="Y28" s="46">
        <v>1</v>
      </c>
      <c r="Z28" s="46">
        <v>1</v>
      </c>
      <c r="AA28" s="46">
        <v>1</v>
      </c>
      <c r="AB28" s="1"/>
    </row>
    <row r="29" spans="1:28" ht="15" customHeight="1">
      <c r="A29" s="1"/>
      <c r="B29" s="50">
        <v>2</v>
      </c>
      <c r="C29" s="46">
        <v>1</v>
      </c>
      <c r="D29" s="46">
        <v>1</v>
      </c>
      <c r="E29" s="46">
        <v>1</v>
      </c>
      <c r="F29" s="46">
        <v>1</v>
      </c>
      <c r="G29" s="46">
        <v>1</v>
      </c>
      <c r="H29" s="46">
        <v>1</v>
      </c>
      <c r="I29" s="46">
        <v>1</v>
      </c>
      <c r="J29" s="46">
        <v>1</v>
      </c>
      <c r="K29" s="46">
        <v>1</v>
      </c>
      <c r="L29" s="46">
        <v>1</v>
      </c>
      <c r="M29" s="46">
        <v>1</v>
      </c>
      <c r="N29" s="46">
        <v>1</v>
      </c>
      <c r="O29" s="47">
        <v>1</v>
      </c>
      <c r="P29" s="46">
        <v>1</v>
      </c>
      <c r="Q29" s="46">
        <v>1</v>
      </c>
      <c r="R29" s="46">
        <v>1</v>
      </c>
      <c r="S29" s="46">
        <v>1</v>
      </c>
      <c r="T29" s="46">
        <v>1</v>
      </c>
      <c r="U29" s="46">
        <v>1</v>
      </c>
      <c r="V29" s="46">
        <v>1</v>
      </c>
      <c r="W29" s="46">
        <v>1</v>
      </c>
      <c r="X29" s="46">
        <v>1</v>
      </c>
      <c r="Y29" s="46">
        <v>1</v>
      </c>
      <c r="Z29" s="46">
        <v>1</v>
      </c>
      <c r="AA29" s="46">
        <v>1</v>
      </c>
      <c r="AB29" s="1"/>
    </row>
    <row r="30" spans="1:28" ht="15" customHeight="1">
      <c r="A30" s="1"/>
      <c r="B30" s="51">
        <v>2</v>
      </c>
      <c r="C30" s="48">
        <v>1</v>
      </c>
      <c r="D30" s="48">
        <v>1</v>
      </c>
      <c r="E30" s="48">
        <v>1</v>
      </c>
      <c r="F30" s="48">
        <v>1</v>
      </c>
      <c r="G30" s="48">
        <v>1</v>
      </c>
      <c r="H30" s="48">
        <v>1</v>
      </c>
      <c r="I30" s="48">
        <v>1</v>
      </c>
      <c r="J30" s="48">
        <v>1</v>
      </c>
      <c r="K30" s="48">
        <v>1</v>
      </c>
      <c r="L30" s="48">
        <v>1</v>
      </c>
      <c r="M30" s="48">
        <v>1</v>
      </c>
      <c r="N30" s="48">
        <v>1</v>
      </c>
      <c r="O30" s="49">
        <v>1</v>
      </c>
      <c r="P30" s="48">
        <v>1</v>
      </c>
      <c r="Q30" s="48">
        <v>1</v>
      </c>
      <c r="R30" s="48">
        <v>1</v>
      </c>
      <c r="S30" s="48">
        <v>1</v>
      </c>
      <c r="T30" s="48">
        <v>1</v>
      </c>
      <c r="U30" s="48">
        <v>1</v>
      </c>
      <c r="V30" s="48">
        <v>1</v>
      </c>
      <c r="W30" s="48">
        <v>1</v>
      </c>
      <c r="X30" s="48">
        <v>1</v>
      </c>
      <c r="Y30" s="48">
        <v>1</v>
      </c>
      <c r="Z30" s="48">
        <v>1</v>
      </c>
      <c r="AA30" s="48">
        <v>1</v>
      </c>
      <c r="AB30" s="1"/>
    </row>
    <row r="31" spans="1:28" ht="15" customHeight="1" thickBot="1">
      <c r="A31" s="1"/>
      <c r="B31" s="18" t="s">
        <v>40</v>
      </c>
      <c r="C31" s="52">
        <f t="shared" si="3" ref="C31:AA31">C25+SUM(C26:C30)</f>
        <v>2</v>
      </c>
      <c r="D31" s="52">
        <f t="shared" si="3"/>
        <v>2</v>
      </c>
      <c r="E31" s="52">
        <f t="shared" si="3"/>
        <v>2</v>
      </c>
      <c r="F31" s="52">
        <f t="shared" si="3"/>
        <v>2</v>
      </c>
      <c r="G31" s="52">
        <f t="shared" si="3"/>
        <v>2</v>
      </c>
      <c r="H31" s="52">
        <f t="shared" si="3"/>
        <v>2</v>
      </c>
      <c r="I31" s="52">
        <f t="shared" si="3"/>
        <v>2</v>
      </c>
      <c r="J31" s="52">
        <f t="shared" si="3"/>
        <v>2</v>
      </c>
      <c r="K31" s="52">
        <f t="shared" si="3"/>
        <v>2</v>
      </c>
      <c r="L31" s="52">
        <f t="shared" si="3"/>
        <v>2</v>
      </c>
      <c r="M31" s="52">
        <f t="shared" si="3"/>
        <v>2</v>
      </c>
      <c r="N31" s="52">
        <f t="shared" si="3"/>
        <v>2</v>
      </c>
      <c r="O31" s="18"/>
      <c r="P31" s="52">
        <f t="shared" si="3"/>
        <v>2</v>
      </c>
      <c r="Q31" s="52">
        <f t="shared" si="3"/>
        <v>2</v>
      </c>
      <c r="R31" s="52">
        <f t="shared" si="3"/>
        <v>2</v>
      </c>
      <c r="S31" s="52">
        <f t="shared" si="3"/>
        <v>2</v>
      </c>
      <c r="T31" s="52">
        <f t="shared" si="3"/>
        <v>2</v>
      </c>
      <c r="U31" s="52">
        <f t="shared" si="3"/>
        <v>2</v>
      </c>
      <c r="V31" s="52">
        <f t="shared" si="3"/>
        <v>2</v>
      </c>
      <c r="W31" s="52">
        <f t="shared" si="3"/>
        <v>2</v>
      </c>
      <c r="X31" s="52">
        <f t="shared" si="3"/>
        <v>2</v>
      </c>
      <c r="Y31" s="52">
        <f t="shared" si="3"/>
        <v>2</v>
      </c>
      <c r="Z31" s="52">
        <f t="shared" si="3"/>
        <v>2</v>
      </c>
      <c r="AA31" s="52">
        <f t="shared" si="3"/>
        <v>2</v>
      </c>
      <c r="AB31" s="1"/>
    </row>
    <row r="32" spans="1:28" ht="15" customHeight="1" thickTop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15" customHeight="1">
      <c r="A33" s="1"/>
      <c r="B33" s="12" t="s">
        <v>41</v>
      </c>
      <c r="C33" s="46">
        <v>1</v>
      </c>
      <c r="D33" s="46">
        <v>1</v>
      </c>
      <c r="E33" s="46">
        <v>1</v>
      </c>
      <c r="F33" s="46">
        <v>1</v>
      </c>
      <c r="G33" s="46">
        <v>1</v>
      </c>
      <c r="H33" s="46">
        <v>1</v>
      </c>
      <c r="I33" s="46">
        <v>1</v>
      </c>
      <c r="J33" s="46">
        <v>1</v>
      </c>
      <c r="K33" s="46">
        <v>1</v>
      </c>
      <c r="L33" s="46">
        <v>1</v>
      </c>
      <c r="M33" s="46">
        <v>1</v>
      </c>
      <c r="N33" s="46">
        <v>1</v>
      </c>
      <c r="O33" s="47">
        <v>1</v>
      </c>
      <c r="P33" s="46">
        <v>1</v>
      </c>
      <c r="Q33" s="46">
        <v>1</v>
      </c>
      <c r="R33" s="46">
        <v>1</v>
      </c>
      <c r="S33" s="46">
        <v>1</v>
      </c>
      <c r="T33" s="46">
        <v>1</v>
      </c>
      <c r="U33" s="46">
        <v>1</v>
      </c>
      <c r="V33" s="46">
        <v>1</v>
      </c>
      <c r="W33" s="46">
        <v>1</v>
      </c>
      <c r="X33" s="46">
        <v>1</v>
      </c>
      <c r="Y33" s="46">
        <v>1</v>
      </c>
      <c r="Z33" s="46">
        <v>1</v>
      </c>
      <c r="AA33" s="46">
        <v>1</v>
      </c>
      <c r="AB33" s="1"/>
    </row>
    <row r="34" spans="1:28" ht="15" customHeight="1">
      <c r="A34" s="1"/>
      <c r="B34" s="16" t="s">
        <v>42</v>
      </c>
      <c r="C34" s="17">
        <f t="shared" si="4" ref="C34:AA34">C22-C33</f>
        <v>-4</v>
      </c>
      <c r="D34" s="17">
        <f t="shared" si="4"/>
        <v>-4</v>
      </c>
      <c r="E34" s="17">
        <f t="shared" si="4"/>
        <v>-4</v>
      </c>
      <c r="F34" s="17">
        <f t="shared" si="4"/>
        <v>-4</v>
      </c>
      <c r="G34" s="17">
        <f t="shared" si="4"/>
        <v>-4</v>
      </c>
      <c r="H34" s="17">
        <f t="shared" si="4"/>
        <v>-4</v>
      </c>
      <c r="I34" s="17">
        <f t="shared" si="4"/>
        <v>-4</v>
      </c>
      <c r="J34" s="17">
        <f t="shared" si="4"/>
        <v>-4</v>
      </c>
      <c r="K34" s="17">
        <f t="shared" si="4"/>
        <v>-4</v>
      </c>
      <c r="L34" s="17">
        <f t="shared" si="4"/>
        <v>-4</v>
      </c>
      <c r="M34" s="17">
        <f t="shared" si="4"/>
        <v>-4</v>
      </c>
      <c r="N34" s="17">
        <f t="shared" si="4"/>
        <v>-4</v>
      </c>
      <c r="O34" s="16"/>
      <c r="P34" s="17">
        <f t="shared" si="4"/>
        <v>-4</v>
      </c>
      <c r="Q34" s="17">
        <f t="shared" si="4"/>
        <v>-4</v>
      </c>
      <c r="R34" s="17">
        <f t="shared" si="4"/>
        <v>-4</v>
      </c>
      <c r="S34" s="17">
        <f t="shared" si="4"/>
        <v>-4</v>
      </c>
      <c r="T34" s="17">
        <f t="shared" si="4"/>
        <v>-4</v>
      </c>
      <c r="U34" s="17">
        <f t="shared" si="4"/>
        <v>-4</v>
      </c>
      <c r="V34" s="17">
        <f t="shared" si="4"/>
        <v>-4</v>
      </c>
      <c r="W34" s="17">
        <f t="shared" si="4"/>
        <v>-4</v>
      </c>
      <c r="X34" s="17">
        <f t="shared" si="4"/>
        <v>-4</v>
      </c>
      <c r="Y34" s="17">
        <f t="shared" si="4"/>
        <v>-4</v>
      </c>
      <c r="Z34" s="17">
        <f t="shared" si="4"/>
        <v>-4</v>
      </c>
      <c r="AA34" s="17">
        <f t="shared" si="4"/>
        <v>-4</v>
      </c>
      <c r="AB34" s="1"/>
    </row>
    <row r="35" spans="1:28" ht="15" customHeight="1">
      <c r="A35" s="1"/>
      <c r="B35" s="12" t="s">
        <v>43</v>
      </c>
      <c r="C35" s="46">
        <v>1</v>
      </c>
      <c r="D35" s="46">
        <v>1</v>
      </c>
      <c r="E35" s="46">
        <v>1</v>
      </c>
      <c r="F35" s="46">
        <v>1</v>
      </c>
      <c r="G35" s="46">
        <v>1</v>
      </c>
      <c r="H35" s="46">
        <v>1</v>
      </c>
      <c r="I35" s="46">
        <v>1</v>
      </c>
      <c r="J35" s="46">
        <v>1</v>
      </c>
      <c r="K35" s="46">
        <v>1</v>
      </c>
      <c r="L35" s="46">
        <v>1</v>
      </c>
      <c r="M35" s="46">
        <v>1</v>
      </c>
      <c r="N35" s="46">
        <v>1</v>
      </c>
      <c r="O35" s="47">
        <v>1</v>
      </c>
      <c r="P35" s="46">
        <v>1</v>
      </c>
      <c r="Q35" s="46">
        <v>1</v>
      </c>
      <c r="R35" s="46">
        <v>1</v>
      </c>
      <c r="S35" s="46">
        <v>1</v>
      </c>
      <c r="T35" s="46">
        <v>1</v>
      </c>
      <c r="U35" s="46">
        <v>1</v>
      </c>
      <c r="V35" s="46">
        <v>1</v>
      </c>
      <c r="W35" s="46">
        <v>1</v>
      </c>
      <c r="X35" s="46">
        <v>1</v>
      </c>
      <c r="Y35" s="46">
        <v>1</v>
      </c>
      <c r="Z35" s="46">
        <v>1</v>
      </c>
      <c r="AA35" s="46">
        <v>1</v>
      </c>
      <c r="AB35" s="1"/>
    </row>
    <row r="36" spans="1:28" ht="15" customHeight="1">
      <c r="A36" s="1"/>
      <c r="B36" s="16" t="s">
        <v>44</v>
      </c>
      <c r="C36" s="17">
        <f t="shared" si="5" ref="C36:AA38">C34-C35</f>
        <v>-5</v>
      </c>
      <c r="D36" s="17">
        <f t="shared" si="5"/>
        <v>-5</v>
      </c>
      <c r="E36" s="17">
        <f t="shared" si="5"/>
        <v>-5</v>
      </c>
      <c r="F36" s="17">
        <f t="shared" si="5"/>
        <v>-5</v>
      </c>
      <c r="G36" s="17">
        <f t="shared" si="5"/>
        <v>-5</v>
      </c>
      <c r="H36" s="17">
        <f t="shared" si="5"/>
        <v>-5</v>
      </c>
      <c r="I36" s="17">
        <f t="shared" si="5"/>
        <v>-5</v>
      </c>
      <c r="J36" s="17">
        <f t="shared" si="5"/>
        <v>-5</v>
      </c>
      <c r="K36" s="17">
        <f t="shared" si="5"/>
        <v>-5</v>
      </c>
      <c r="L36" s="17">
        <f t="shared" si="5"/>
        <v>-5</v>
      </c>
      <c r="M36" s="17">
        <f t="shared" si="5"/>
        <v>-5</v>
      </c>
      <c r="N36" s="17">
        <f t="shared" si="5"/>
        <v>-5</v>
      </c>
      <c r="O36" s="16"/>
      <c r="P36" s="17">
        <f t="shared" si="5"/>
        <v>-5</v>
      </c>
      <c r="Q36" s="17">
        <f t="shared" si="5"/>
        <v>-5</v>
      </c>
      <c r="R36" s="17">
        <f t="shared" si="5"/>
        <v>-5</v>
      </c>
      <c r="S36" s="17">
        <f t="shared" si="5"/>
        <v>-5</v>
      </c>
      <c r="T36" s="17">
        <f t="shared" si="5"/>
        <v>-5</v>
      </c>
      <c r="U36" s="17">
        <f t="shared" si="5"/>
        <v>-5</v>
      </c>
      <c r="V36" s="17">
        <f t="shared" si="5"/>
        <v>-5</v>
      </c>
      <c r="W36" s="17">
        <f t="shared" si="5"/>
        <v>-5</v>
      </c>
      <c r="X36" s="17">
        <f t="shared" si="5"/>
        <v>-5</v>
      </c>
      <c r="Y36" s="17">
        <f t="shared" si="5"/>
        <v>-5</v>
      </c>
      <c r="Z36" s="17">
        <f t="shared" si="5"/>
        <v>-5</v>
      </c>
      <c r="AA36" s="17">
        <f t="shared" si="5"/>
        <v>-5</v>
      </c>
      <c r="AB36" s="1"/>
    </row>
    <row r="37" spans="1:28" ht="15" customHeight="1">
      <c r="A37" s="1"/>
      <c r="B37" s="12" t="s">
        <v>45</v>
      </c>
      <c r="C37" s="48">
        <v>1</v>
      </c>
      <c r="D37" s="48">
        <v>1</v>
      </c>
      <c r="E37" s="48">
        <v>1</v>
      </c>
      <c r="F37" s="48">
        <v>1</v>
      </c>
      <c r="G37" s="48">
        <v>1</v>
      </c>
      <c r="H37" s="48">
        <v>1</v>
      </c>
      <c r="I37" s="48">
        <v>1</v>
      </c>
      <c r="J37" s="48">
        <v>1</v>
      </c>
      <c r="K37" s="48">
        <v>1</v>
      </c>
      <c r="L37" s="48">
        <v>1</v>
      </c>
      <c r="M37" s="48">
        <v>1</v>
      </c>
      <c r="N37" s="48">
        <v>1</v>
      </c>
      <c r="O37" s="49">
        <v>1</v>
      </c>
      <c r="P37" s="48">
        <v>1</v>
      </c>
      <c r="Q37" s="48">
        <v>1</v>
      </c>
      <c r="R37" s="48">
        <v>1</v>
      </c>
      <c r="S37" s="48">
        <v>1</v>
      </c>
      <c r="T37" s="48">
        <v>1</v>
      </c>
      <c r="U37" s="48">
        <v>1</v>
      </c>
      <c r="V37" s="48">
        <v>1</v>
      </c>
      <c r="W37" s="48">
        <v>1</v>
      </c>
      <c r="X37" s="48">
        <v>1</v>
      </c>
      <c r="Y37" s="48">
        <v>1</v>
      </c>
      <c r="Z37" s="48">
        <v>1</v>
      </c>
      <c r="AA37" s="48">
        <v>1</v>
      </c>
      <c r="AB37" s="1"/>
    </row>
    <row r="38" spans="1:28" ht="15" customHeight="1" thickBot="1">
      <c r="A38" s="1"/>
      <c r="B38" s="18" t="s">
        <v>46</v>
      </c>
      <c r="C38" s="19">
        <f t="shared" si="5"/>
        <v>-6</v>
      </c>
      <c r="D38" s="19">
        <f t="shared" si="5"/>
        <v>-6</v>
      </c>
      <c r="E38" s="19">
        <f t="shared" si="5"/>
        <v>-6</v>
      </c>
      <c r="F38" s="19">
        <f t="shared" si="5"/>
        <v>-6</v>
      </c>
      <c r="G38" s="19">
        <f t="shared" si="5"/>
        <v>-6</v>
      </c>
      <c r="H38" s="19">
        <f t="shared" si="5"/>
        <v>-6</v>
      </c>
      <c r="I38" s="19">
        <f t="shared" si="5"/>
        <v>-6</v>
      </c>
      <c r="J38" s="19">
        <f t="shared" si="5"/>
        <v>-6</v>
      </c>
      <c r="K38" s="19">
        <f t="shared" si="5"/>
        <v>-6</v>
      </c>
      <c r="L38" s="19">
        <f t="shared" si="5"/>
        <v>-6</v>
      </c>
      <c r="M38" s="19">
        <f t="shared" si="5"/>
        <v>-6</v>
      </c>
      <c r="N38" s="19">
        <f t="shared" si="5"/>
        <v>-6</v>
      </c>
      <c r="O38" s="18"/>
      <c r="P38" s="19">
        <f t="shared" si="5"/>
        <v>-6</v>
      </c>
      <c r="Q38" s="19">
        <f t="shared" si="5"/>
        <v>-6</v>
      </c>
      <c r="R38" s="19">
        <f t="shared" si="5"/>
        <v>-6</v>
      </c>
      <c r="S38" s="19">
        <f t="shared" si="5"/>
        <v>-6</v>
      </c>
      <c r="T38" s="19">
        <f t="shared" si="5"/>
        <v>-6</v>
      </c>
      <c r="U38" s="19">
        <f t="shared" si="5"/>
        <v>-6</v>
      </c>
      <c r="V38" s="19">
        <f t="shared" si="5"/>
        <v>-6</v>
      </c>
      <c r="W38" s="19">
        <f t="shared" si="5"/>
        <v>-6</v>
      </c>
      <c r="X38" s="19">
        <f t="shared" si="5"/>
        <v>-6</v>
      </c>
      <c r="Y38" s="19">
        <f t="shared" si="5"/>
        <v>-6</v>
      </c>
      <c r="Z38" s="19">
        <f t="shared" si="5"/>
        <v>-6</v>
      </c>
      <c r="AA38" s="19">
        <f t="shared" si="5"/>
        <v>-6</v>
      </c>
      <c r="AB38" s="1"/>
    </row>
    <row r="39" spans="1:28" ht="15" customHeight="1" thickTop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15" customHeight="1">
      <c r="A40" s="1"/>
      <c r="B40" s="11" t="s">
        <v>47</v>
      </c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"/>
    </row>
    <row r="41" spans="1:28" ht="15" customHeight="1">
      <c r="A41" s="1"/>
      <c r="B41" s="50">
        <v>2</v>
      </c>
      <c r="C41" s="46">
        <v>1</v>
      </c>
      <c r="D41" s="46">
        <v>1</v>
      </c>
      <c r="E41" s="46">
        <v>1</v>
      </c>
      <c r="F41" s="46">
        <v>1</v>
      </c>
      <c r="G41" s="46">
        <v>1</v>
      </c>
      <c r="H41" s="46">
        <v>1</v>
      </c>
      <c r="I41" s="46">
        <v>1</v>
      </c>
      <c r="J41" s="46">
        <v>1</v>
      </c>
      <c r="K41" s="46">
        <v>1</v>
      </c>
      <c r="L41" s="46">
        <v>1</v>
      </c>
      <c r="M41" s="46">
        <v>1</v>
      </c>
      <c r="N41" s="46">
        <v>1</v>
      </c>
      <c r="O41" s="47">
        <v>1</v>
      </c>
      <c r="P41" s="46">
        <v>1</v>
      </c>
      <c r="Q41" s="46">
        <v>1</v>
      </c>
      <c r="R41" s="46">
        <v>1</v>
      </c>
      <c r="S41" s="46">
        <v>1</v>
      </c>
      <c r="T41" s="46">
        <v>1</v>
      </c>
      <c r="U41" s="46">
        <v>1</v>
      </c>
      <c r="V41" s="46">
        <v>1</v>
      </c>
      <c r="W41" s="46">
        <v>1</v>
      </c>
      <c r="X41" s="46">
        <v>1</v>
      </c>
      <c r="Y41" s="46">
        <v>1</v>
      </c>
      <c r="Z41" s="46">
        <v>1</v>
      </c>
      <c r="AA41" s="46">
        <v>1</v>
      </c>
      <c r="AB41" s="1"/>
    </row>
    <row r="42" spans="1:28" ht="15" customHeight="1">
      <c r="A42" s="1"/>
      <c r="B42" s="50">
        <v>2</v>
      </c>
      <c r="C42" s="46">
        <v>1</v>
      </c>
      <c r="D42" s="46">
        <v>1</v>
      </c>
      <c r="E42" s="46">
        <v>1</v>
      </c>
      <c r="F42" s="46">
        <v>1</v>
      </c>
      <c r="G42" s="46">
        <v>1</v>
      </c>
      <c r="H42" s="46">
        <v>1</v>
      </c>
      <c r="I42" s="46">
        <v>1</v>
      </c>
      <c r="J42" s="46">
        <v>1</v>
      </c>
      <c r="K42" s="46">
        <v>1</v>
      </c>
      <c r="L42" s="46">
        <v>1</v>
      </c>
      <c r="M42" s="46">
        <v>1</v>
      </c>
      <c r="N42" s="46">
        <v>1</v>
      </c>
      <c r="O42" s="47">
        <v>1</v>
      </c>
      <c r="P42" s="46">
        <v>1</v>
      </c>
      <c r="Q42" s="46">
        <v>1</v>
      </c>
      <c r="R42" s="46">
        <v>1</v>
      </c>
      <c r="S42" s="46">
        <v>1</v>
      </c>
      <c r="T42" s="46">
        <v>1</v>
      </c>
      <c r="U42" s="46">
        <v>1</v>
      </c>
      <c r="V42" s="46">
        <v>1</v>
      </c>
      <c r="W42" s="46">
        <v>1</v>
      </c>
      <c r="X42" s="46">
        <v>1</v>
      </c>
      <c r="Y42" s="46">
        <v>1</v>
      </c>
      <c r="Z42" s="46">
        <v>1</v>
      </c>
      <c r="AA42" s="46">
        <v>1</v>
      </c>
      <c r="AB42" s="1"/>
    </row>
    <row r="43" spans="1:28" ht="15" customHeight="1">
      <c r="A43" s="1"/>
      <c r="B43" s="50">
        <v>2</v>
      </c>
      <c r="C43" s="46">
        <v>1</v>
      </c>
      <c r="D43" s="46">
        <v>1</v>
      </c>
      <c r="E43" s="46">
        <v>1</v>
      </c>
      <c r="F43" s="46">
        <v>1</v>
      </c>
      <c r="G43" s="46">
        <v>1</v>
      </c>
      <c r="H43" s="46">
        <v>1</v>
      </c>
      <c r="I43" s="46">
        <v>1</v>
      </c>
      <c r="J43" s="46">
        <v>1</v>
      </c>
      <c r="K43" s="46">
        <v>1</v>
      </c>
      <c r="L43" s="46">
        <v>1</v>
      </c>
      <c r="M43" s="46">
        <v>1</v>
      </c>
      <c r="N43" s="46">
        <v>1</v>
      </c>
      <c r="O43" s="47">
        <v>1</v>
      </c>
      <c r="P43" s="46">
        <v>1</v>
      </c>
      <c r="Q43" s="46">
        <v>1</v>
      </c>
      <c r="R43" s="46">
        <v>1</v>
      </c>
      <c r="S43" s="46">
        <v>1</v>
      </c>
      <c r="T43" s="46">
        <v>1</v>
      </c>
      <c r="U43" s="46">
        <v>1</v>
      </c>
      <c r="V43" s="46">
        <v>1</v>
      </c>
      <c r="W43" s="46">
        <v>1</v>
      </c>
      <c r="X43" s="46">
        <v>1</v>
      </c>
      <c r="Y43" s="46">
        <v>1</v>
      </c>
      <c r="Z43" s="46">
        <v>1</v>
      </c>
      <c r="AA43" s="46">
        <v>1</v>
      </c>
      <c r="AB43" s="1"/>
    </row>
    <row r="44" spans="1:28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</sheetData>
  <sheetProtection autoFilter="0"/>
  <mergeCells count="2">
    <mergeCell ref="C4:N4"/>
    <mergeCell ref="P4:AA4"/>
  </mergeCells>
  <pageMargins left="0.7" right="0.7" top="0.75" bottom="0.75" header="0.3" footer="0.3"/>
  <pageSetup orientation="portrait" paperSize="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19A2032-D748-0468-EDDD-EE50EAC73AE8}">
  <dimension ref="A1:P40"/>
  <sheetViews>
    <sheetView showGridLines="0" workbookViewId="0" topLeftCell="A1">
      <selection pane="topLeft" activeCell="C24" sqref="C24"/>
    </sheetView>
  </sheetViews>
  <sheetFormatPr defaultColWidth="7.755" defaultRowHeight="15" customHeight="1"/>
  <cols>
    <col min="1" max="1" width="1.5" customWidth="1"/>
    <col min="2" max="2" width="26.25" customWidth="1"/>
  </cols>
  <sheetData>
    <row r="1" spans="1:16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1" customHeight="1">
      <c r="A2" s="1"/>
      <c r="B2" s="9" t="s">
        <v>50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1"/>
      <c r="P2" s="1"/>
    </row>
    <row r="3" spans="1:16" ht="15" customHeight="1">
      <c r="A3" s="1"/>
      <c r="B3" s="8" t="str">
        <f>ReportingEntity&amp;"  |  As of "&amp;TEXT(AsOfDate,"dd mmm yyyy")&amp;"  |  "&amp;Cover!C8</f>
        <v>Group (Consolidated)  |  As of 30 Jun 2026  |  €m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1"/>
      <c r="P3" s="1"/>
    </row>
    <row r="4" spans="1:16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15" customHeight="1">
      <c r="A5" s="1"/>
      <c r="B5" s="1"/>
      <c r="C5" s="10" cm="1">
        <f t="array" ref="C5">Monthly_Flash!C5</f>
        <v>45839</v>
      </c>
      <c r="D5" s="10" cm="1">
        <f t="array" ref="D5">Monthly_Flash!D5</f>
        <v>45870</v>
      </c>
      <c r="E5" s="10" cm="1">
        <f t="array" ref="E5">Monthly_Flash!E5</f>
        <v>45901</v>
      </c>
      <c r="F5" s="10" cm="1">
        <f t="array" ref="F5">Monthly_Flash!F5</f>
        <v>45931</v>
      </c>
      <c r="G5" s="10" cm="1">
        <f t="array" ref="G5">Monthly_Flash!G5</f>
        <v>45962</v>
      </c>
      <c r="H5" s="10" cm="1">
        <f t="array" ref="H5">Monthly_Flash!H5</f>
        <v>45992</v>
      </c>
      <c r="I5" s="10" cm="1">
        <f t="array" ref="I5">Monthly_Flash!I5</f>
        <v>46023</v>
      </c>
      <c r="J5" s="10" cm="1">
        <f t="array" ref="J5">Monthly_Flash!J5</f>
        <v>46054</v>
      </c>
      <c r="K5" s="10" cm="1">
        <f t="array" ref="K5">Monthly_Flash!K5</f>
        <v>46082</v>
      </c>
      <c r="L5" s="10" cm="1">
        <f t="array" ref="L5">Monthly_Flash!L5</f>
        <v>46113</v>
      </c>
      <c r="M5" s="10" cm="1">
        <f t="array" ref="M5">Monthly_Flash!M5</f>
        <v>46143</v>
      </c>
      <c r="N5" s="10" cm="1">
        <f t="array" ref="N5">Monthly_Flash!N5</f>
        <v>46174</v>
      </c>
      <c r="O5" s="1"/>
      <c r="P5" s="1"/>
    </row>
    <row r="6" spans="1:16" ht="15" customHeight="1">
      <c r="A6" s="1"/>
      <c r="B6" s="11" t="s">
        <v>51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"/>
      <c r="P6" s="1"/>
    </row>
    <row r="7" spans="1:16" ht="15" customHeight="1">
      <c r="A7" s="1"/>
      <c r="B7" s="12" t="s">
        <v>52</v>
      </c>
      <c r="C7" s="46">
        <v>1</v>
      </c>
      <c r="D7" s="46">
        <v>1</v>
      </c>
      <c r="E7" s="46">
        <v>1</v>
      </c>
      <c r="F7" s="46">
        <v>1</v>
      </c>
      <c r="G7" s="46">
        <v>1</v>
      </c>
      <c r="H7" s="46">
        <v>1</v>
      </c>
      <c r="I7" s="46">
        <v>1</v>
      </c>
      <c r="J7" s="46">
        <v>1</v>
      </c>
      <c r="K7" s="46">
        <v>1</v>
      </c>
      <c r="L7" s="46">
        <v>1</v>
      </c>
      <c r="M7" s="46">
        <v>1</v>
      </c>
      <c r="N7" s="46">
        <v>1</v>
      </c>
      <c r="O7" s="1"/>
      <c r="P7" s="1"/>
    </row>
    <row r="8" spans="1:16" ht="15" customHeight="1">
      <c r="A8" s="1"/>
      <c r="B8" s="12" t="s">
        <v>53</v>
      </c>
      <c r="C8" s="46">
        <v>1</v>
      </c>
      <c r="D8" s="46">
        <v>1</v>
      </c>
      <c r="E8" s="46">
        <v>1</v>
      </c>
      <c r="F8" s="46">
        <v>1</v>
      </c>
      <c r="G8" s="46">
        <v>1</v>
      </c>
      <c r="H8" s="46">
        <v>1</v>
      </c>
      <c r="I8" s="46">
        <v>1</v>
      </c>
      <c r="J8" s="46">
        <v>1</v>
      </c>
      <c r="K8" s="46">
        <v>1</v>
      </c>
      <c r="L8" s="46">
        <v>1</v>
      </c>
      <c r="M8" s="46">
        <v>1</v>
      </c>
      <c r="N8" s="46">
        <v>1</v>
      </c>
      <c r="O8" s="1"/>
      <c r="P8" s="1"/>
    </row>
    <row r="9" spans="1:16" ht="15" customHeight="1">
      <c r="A9" s="1"/>
      <c r="B9" s="12" t="s">
        <v>54</v>
      </c>
      <c r="C9" s="46">
        <v>1</v>
      </c>
      <c r="D9" s="46">
        <v>1</v>
      </c>
      <c r="E9" s="46">
        <v>1</v>
      </c>
      <c r="F9" s="46">
        <v>1</v>
      </c>
      <c r="G9" s="46">
        <v>1</v>
      </c>
      <c r="H9" s="46">
        <v>1</v>
      </c>
      <c r="I9" s="46">
        <v>1</v>
      </c>
      <c r="J9" s="46">
        <v>1</v>
      </c>
      <c r="K9" s="46">
        <v>1</v>
      </c>
      <c r="L9" s="46">
        <v>1</v>
      </c>
      <c r="M9" s="46">
        <v>1</v>
      </c>
      <c r="N9" s="46">
        <v>1</v>
      </c>
      <c r="O9" s="1"/>
      <c r="P9" s="1"/>
    </row>
    <row r="10" spans="1:16" ht="15" customHeight="1">
      <c r="A10" s="1"/>
      <c r="B10" s="12" t="s">
        <v>55</v>
      </c>
      <c r="C10" s="48">
        <v>1</v>
      </c>
      <c r="D10" s="48">
        <v>1</v>
      </c>
      <c r="E10" s="48">
        <v>1</v>
      </c>
      <c r="F10" s="48">
        <v>1</v>
      </c>
      <c r="G10" s="48">
        <v>1</v>
      </c>
      <c r="H10" s="48">
        <v>1</v>
      </c>
      <c r="I10" s="48">
        <v>1</v>
      </c>
      <c r="J10" s="48">
        <v>1</v>
      </c>
      <c r="K10" s="48">
        <v>1</v>
      </c>
      <c r="L10" s="48">
        <v>1</v>
      </c>
      <c r="M10" s="48">
        <v>1</v>
      </c>
      <c r="N10" s="48">
        <v>1</v>
      </c>
      <c r="O10" s="1"/>
      <c r="P10" s="1"/>
    </row>
    <row r="11" spans="1:16" ht="15" customHeight="1" thickBot="1">
      <c r="A11" s="1"/>
      <c r="B11" s="18" t="s">
        <v>56</v>
      </c>
      <c r="C11" s="19">
        <f t="shared" si="0" ref="C11:N11">SUM(C7:C10)</f>
        <v>4</v>
      </c>
      <c r="D11" s="19">
        <f t="shared" si="0"/>
        <v>4</v>
      </c>
      <c r="E11" s="19">
        <f t="shared" si="0"/>
        <v>4</v>
      </c>
      <c r="F11" s="19">
        <f t="shared" si="0"/>
        <v>4</v>
      </c>
      <c r="G11" s="19">
        <f t="shared" si="0"/>
        <v>4</v>
      </c>
      <c r="H11" s="19">
        <f t="shared" si="0"/>
        <v>4</v>
      </c>
      <c r="I11" s="19">
        <f t="shared" si="0"/>
        <v>4</v>
      </c>
      <c r="J11" s="19">
        <f t="shared" si="0"/>
        <v>4</v>
      </c>
      <c r="K11" s="19">
        <f t="shared" si="0"/>
        <v>4</v>
      </c>
      <c r="L11" s="19">
        <f t="shared" si="0"/>
        <v>4</v>
      </c>
      <c r="M11" s="19">
        <f t="shared" si="0"/>
        <v>4</v>
      </c>
      <c r="N11" s="19">
        <f t="shared" si="0"/>
        <v>4</v>
      </c>
      <c r="O11" s="1"/>
      <c r="P11" s="1"/>
    </row>
    <row r="12" spans="1:16" ht="15" customHeight="1" thickTop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ht="15" customHeight="1">
      <c r="A13" s="1"/>
      <c r="B13" s="11" t="s">
        <v>57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"/>
      <c r="P13" s="1"/>
    </row>
    <row r="14" spans="1:16" ht="15" customHeight="1">
      <c r="A14" s="1"/>
      <c r="B14" s="12" t="s">
        <v>58</v>
      </c>
      <c r="C14" s="46">
        <v>1</v>
      </c>
      <c r="D14" s="46">
        <v>1</v>
      </c>
      <c r="E14" s="46">
        <v>1</v>
      </c>
      <c r="F14" s="46">
        <v>1</v>
      </c>
      <c r="G14" s="46">
        <v>1</v>
      </c>
      <c r="H14" s="46">
        <v>1</v>
      </c>
      <c r="I14" s="46">
        <v>1</v>
      </c>
      <c r="J14" s="46">
        <v>1</v>
      </c>
      <c r="K14" s="46">
        <v>1</v>
      </c>
      <c r="L14" s="46">
        <v>1</v>
      </c>
      <c r="M14" s="46">
        <v>1</v>
      </c>
      <c r="N14" s="46">
        <v>1</v>
      </c>
      <c r="O14" s="1"/>
      <c r="P14" s="1"/>
    </row>
    <row r="15" spans="1:16" ht="15" customHeight="1">
      <c r="A15" s="1"/>
      <c r="B15" s="12" t="s">
        <v>59</v>
      </c>
      <c r="C15" s="46">
        <v>1</v>
      </c>
      <c r="D15" s="46">
        <v>1</v>
      </c>
      <c r="E15" s="46">
        <v>1</v>
      </c>
      <c r="F15" s="46">
        <v>1</v>
      </c>
      <c r="G15" s="46">
        <v>1</v>
      </c>
      <c r="H15" s="46">
        <v>1</v>
      </c>
      <c r="I15" s="46">
        <v>1</v>
      </c>
      <c r="J15" s="46">
        <v>1</v>
      </c>
      <c r="K15" s="46">
        <v>1</v>
      </c>
      <c r="L15" s="46">
        <v>1</v>
      </c>
      <c r="M15" s="46">
        <v>1</v>
      </c>
      <c r="N15" s="46">
        <v>1</v>
      </c>
      <c r="O15" s="1"/>
      <c r="P15" s="1"/>
    </row>
    <row r="16" spans="1:16" ht="15" customHeight="1">
      <c r="A16" s="1"/>
      <c r="B16" s="12" t="s">
        <v>60</v>
      </c>
      <c r="C16" s="46">
        <v>1</v>
      </c>
      <c r="D16" s="46">
        <v>1</v>
      </c>
      <c r="E16" s="46">
        <v>1</v>
      </c>
      <c r="F16" s="46">
        <v>1</v>
      </c>
      <c r="G16" s="46">
        <v>1</v>
      </c>
      <c r="H16" s="46">
        <v>1</v>
      </c>
      <c r="I16" s="46">
        <v>1</v>
      </c>
      <c r="J16" s="46">
        <v>1</v>
      </c>
      <c r="K16" s="46">
        <v>1</v>
      </c>
      <c r="L16" s="46">
        <v>1</v>
      </c>
      <c r="M16" s="46">
        <v>1</v>
      </c>
      <c r="N16" s="46">
        <v>1</v>
      </c>
      <c r="O16" s="1"/>
      <c r="P16" s="1"/>
    </row>
    <row r="17" spans="1:16" ht="15" customHeight="1">
      <c r="A17" s="1"/>
      <c r="B17" s="12" t="s">
        <v>61</v>
      </c>
      <c r="C17" s="48">
        <v>1</v>
      </c>
      <c r="D17" s="48">
        <v>1</v>
      </c>
      <c r="E17" s="48">
        <v>1</v>
      </c>
      <c r="F17" s="48">
        <v>1</v>
      </c>
      <c r="G17" s="48">
        <v>1</v>
      </c>
      <c r="H17" s="48">
        <v>1</v>
      </c>
      <c r="I17" s="48">
        <v>1</v>
      </c>
      <c r="J17" s="48">
        <v>1</v>
      </c>
      <c r="K17" s="48">
        <v>1</v>
      </c>
      <c r="L17" s="48">
        <v>1</v>
      </c>
      <c r="M17" s="48">
        <v>1</v>
      </c>
      <c r="N17" s="48">
        <v>1</v>
      </c>
      <c r="O17" s="1"/>
      <c r="P17" s="1"/>
    </row>
    <row r="18" spans="1:16" ht="15" customHeight="1">
      <c r="A18" s="1"/>
      <c r="B18" s="14" t="s">
        <v>62</v>
      </c>
      <c r="C18" s="15">
        <f t="shared" si="1" ref="C18:N18">SUM(C15:C17)</f>
        <v>3</v>
      </c>
      <c r="D18" s="15">
        <f t="shared" si="1"/>
        <v>3</v>
      </c>
      <c r="E18" s="15">
        <f t="shared" si="1"/>
        <v>3</v>
      </c>
      <c r="F18" s="15">
        <f t="shared" si="1"/>
        <v>3</v>
      </c>
      <c r="G18" s="15">
        <f t="shared" si="1"/>
        <v>3</v>
      </c>
      <c r="H18" s="15">
        <f t="shared" si="1"/>
        <v>3</v>
      </c>
      <c r="I18" s="15">
        <f t="shared" si="1"/>
        <v>3</v>
      </c>
      <c r="J18" s="15">
        <f t="shared" si="1"/>
        <v>3</v>
      </c>
      <c r="K18" s="15">
        <f t="shared" si="1"/>
        <v>3</v>
      </c>
      <c r="L18" s="15">
        <f t="shared" si="1"/>
        <v>3</v>
      </c>
      <c r="M18" s="15">
        <f t="shared" si="1"/>
        <v>3</v>
      </c>
      <c r="N18" s="15">
        <f t="shared" si="1"/>
        <v>3</v>
      </c>
      <c r="O18" s="1"/>
      <c r="P18" s="1"/>
    </row>
    <row r="19" spans="1:16" ht="15" customHeight="1">
      <c r="A19" s="1"/>
      <c r="B19" s="12" t="s">
        <v>63</v>
      </c>
      <c r="C19" s="46">
        <v>1</v>
      </c>
      <c r="D19" s="46">
        <v>1</v>
      </c>
      <c r="E19" s="46">
        <v>1</v>
      </c>
      <c r="F19" s="46">
        <v>1</v>
      </c>
      <c r="G19" s="46">
        <v>1</v>
      </c>
      <c r="H19" s="46">
        <v>1</v>
      </c>
      <c r="I19" s="46">
        <v>1</v>
      </c>
      <c r="J19" s="46">
        <v>1</v>
      </c>
      <c r="K19" s="46">
        <v>1</v>
      </c>
      <c r="L19" s="46">
        <v>1</v>
      </c>
      <c r="M19" s="46">
        <v>1</v>
      </c>
      <c r="N19" s="46">
        <v>1</v>
      </c>
      <c r="O19" s="1"/>
      <c r="P19" s="1"/>
    </row>
    <row r="20" spans="1:16" ht="15" customHeight="1">
      <c r="A20" s="1"/>
      <c r="B20" s="12" t="s">
        <v>64</v>
      </c>
      <c r="C20" s="48">
        <v>1</v>
      </c>
      <c r="D20" s="48">
        <v>1</v>
      </c>
      <c r="E20" s="48">
        <v>1</v>
      </c>
      <c r="F20" s="48">
        <v>1</v>
      </c>
      <c r="G20" s="48">
        <v>1</v>
      </c>
      <c r="H20" s="48">
        <v>1</v>
      </c>
      <c r="I20" s="48">
        <v>1</v>
      </c>
      <c r="J20" s="48">
        <v>1</v>
      </c>
      <c r="K20" s="48">
        <v>1</v>
      </c>
      <c r="L20" s="48">
        <v>1</v>
      </c>
      <c r="M20" s="48">
        <v>1</v>
      </c>
      <c r="N20" s="48">
        <v>1</v>
      </c>
      <c r="O20" s="1"/>
      <c r="P20" s="1"/>
    </row>
    <row r="21" spans="1:16" ht="15" customHeight="1" thickBot="1">
      <c r="A21" s="1"/>
      <c r="B21" s="18" t="s">
        <v>65</v>
      </c>
      <c r="C21" s="19">
        <f t="shared" si="2" ref="C21:N21">C14+C18+C19+C20</f>
        <v>6</v>
      </c>
      <c r="D21" s="19">
        <f t="shared" si="2"/>
        <v>6</v>
      </c>
      <c r="E21" s="19">
        <f t="shared" si="2"/>
        <v>6</v>
      </c>
      <c r="F21" s="19">
        <f t="shared" si="2"/>
        <v>6</v>
      </c>
      <c r="G21" s="19">
        <f t="shared" si="2"/>
        <v>6</v>
      </c>
      <c r="H21" s="19">
        <f t="shared" si="2"/>
        <v>6</v>
      </c>
      <c r="I21" s="19">
        <f t="shared" si="2"/>
        <v>6</v>
      </c>
      <c r="J21" s="19">
        <f t="shared" si="2"/>
        <v>6</v>
      </c>
      <c r="K21" s="19">
        <f t="shared" si="2"/>
        <v>6</v>
      </c>
      <c r="L21" s="19">
        <f t="shared" si="2"/>
        <v>6</v>
      </c>
      <c r="M21" s="19">
        <f t="shared" si="2"/>
        <v>6</v>
      </c>
      <c r="N21" s="19">
        <f t="shared" si="2"/>
        <v>6</v>
      </c>
      <c r="O21" s="1"/>
      <c r="P21" s="1"/>
    </row>
    <row r="22" spans="1:16" ht="15" customHeight="1" thickTop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ht="15" customHeight="1">
      <c r="A23" s="1"/>
      <c r="B23" s="11" t="s">
        <v>66</v>
      </c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"/>
      <c r="P23" s="1"/>
    </row>
    <row r="24" spans="1:16" ht="15" customHeight="1">
      <c r="A24" s="1"/>
      <c r="B24" s="16" t="s">
        <v>67</v>
      </c>
      <c r="C24" s="53">
        <f t="shared" si="3" ref="C24:N24">C18-C7</f>
        <v>2</v>
      </c>
      <c r="D24" s="53">
        <f t="shared" si="3"/>
        <v>2</v>
      </c>
      <c r="E24" s="53">
        <f t="shared" si="3"/>
        <v>2</v>
      </c>
      <c r="F24" s="53">
        <f t="shared" si="3"/>
        <v>2</v>
      </c>
      <c r="G24" s="53">
        <f t="shared" si="3"/>
        <v>2</v>
      </c>
      <c r="H24" s="53">
        <f t="shared" si="3"/>
        <v>2</v>
      </c>
      <c r="I24" s="53">
        <f t="shared" si="3"/>
        <v>2</v>
      </c>
      <c r="J24" s="53">
        <f t="shared" si="3"/>
        <v>2</v>
      </c>
      <c r="K24" s="53">
        <f t="shared" si="3"/>
        <v>2</v>
      </c>
      <c r="L24" s="53">
        <f t="shared" si="3"/>
        <v>2</v>
      </c>
      <c r="M24" s="53">
        <f t="shared" si="3"/>
        <v>2</v>
      </c>
      <c r="N24" s="53">
        <f t="shared" si="3"/>
        <v>2</v>
      </c>
      <c r="O24" s="1"/>
      <c r="P24" s="1"/>
    </row>
    <row r="25" spans="1:16" ht="15" customHeight="1">
      <c r="A25" s="1"/>
      <c r="B25" s="16" t="s">
        <v>68</v>
      </c>
      <c r="C25" s="53">
        <f t="shared" si="4" ref="C25:N25">C8+C9-C14</f>
        <v>1</v>
      </c>
      <c r="D25" s="53">
        <f t="shared" si="4"/>
        <v>1</v>
      </c>
      <c r="E25" s="53">
        <f t="shared" si="4"/>
        <v>1</v>
      </c>
      <c r="F25" s="53">
        <f t="shared" si="4"/>
        <v>1</v>
      </c>
      <c r="G25" s="53">
        <f t="shared" si="4"/>
        <v>1</v>
      </c>
      <c r="H25" s="53">
        <f t="shared" si="4"/>
        <v>1</v>
      </c>
      <c r="I25" s="53">
        <f t="shared" si="4"/>
        <v>1</v>
      </c>
      <c r="J25" s="53">
        <f t="shared" si="4"/>
        <v>1</v>
      </c>
      <c r="K25" s="53">
        <f t="shared" si="4"/>
        <v>1</v>
      </c>
      <c r="L25" s="53">
        <f t="shared" si="4"/>
        <v>1</v>
      </c>
      <c r="M25" s="53">
        <f t="shared" si="4"/>
        <v>1</v>
      </c>
      <c r="N25" s="53">
        <f t="shared" si="4"/>
        <v>1</v>
      </c>
      <c r="O25" s="1"/>
      <c r="P25" s="1"/>
    </row>
    <row r="26" spans="1:16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</sheetData>
  <sheetProtection sheet="1" autoFilter="0"/>
  <pageMargins left="0.7" right="0.7" top="0.75" bottom="0.75" header="0.3" footer="0.3"/>
  <pageSetup orientation="portrait" paperSize="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302EDA8-ABB2-A727-3A78-F6ED359A1198}">
  <dimension ref="A1:H30"/>
  <sheetViews>
    <sheetView showGridLines="0" workbookViewId="0" topLeftCell="B2">
      <selection pane="topLeft" activeCell="F13" sqref="F13"/>
    </sheetView>
  </sheetViews>
  <sheetFormatPr defaultColWidth="7.755" defaultRowHeight="15" customHeight="1"/>
  <cols>
    <col min="1" max="1" width="1.5" customWidth="1"/>
    <col min="2" max="2" width="43.125" customWidth="1"/>
    <col min="3" max="6" width="11.25" customWidth="1"/>
  </cols>
  <sheetData>
    <row r="1" spans="1:8" ht="15" customHeight="1">
      <c r="A1" s="1"/>
      <c r="B1" s="1"/>
      <c r="C1" s="1"/>
      <c r="D1" s="1"/>
      <c r="E1" s="1"/>
      <c r="F1" s="1"/>
      <c r="G1" s="1"/>
      <c r="H1" s="1"/>
    </row>
    <row r="2" spans="1:8" ht="21" customHeight="1">
      <c r="A2" s="1"/>
      <c r="B2" s="9" t="s">
        <v>69</v>
      </c>
      <c r="C2" s="9"/>
      <c r="D2" s="9"/>
      <c r="E2" s="9"/>
      <c r="F2" s="9"/>
      <c r="G2" s="1"/>
      <c r="H2" s="1"/>
    </row>
    <row r="3" spans="1:8" ht="15" customHeight="1">
      <c r="A3" s="1"/>
      <c r="B3" s="8" t="str">
        <f>ReportingEntity&amp;"  |  Test date: "&amp;TEXT(AsOfDate,"dd mmm yyyy")&amp;"  |  LTM basis"</f>
        <v>Group (Consolidated)  |  Test date: 30 Jun 2026  |  LTM basis</v>
      </c>
      <c r="C3" s="8"/>
      <c r="D3" s="8"/>
      <c r="E3" s="8"/>
      <c r="F3" s="8"/>
      <c r="G3" s="1"/>
      <c r="H3" s="1"/>
    </row>
    <row r="4" spans="1:8" ht="15" customHeight="1">
      <c r="A4" s="1"/>
      <c r="B4" s="1"/>
      <c r="C4" s="1"/>
      <c r="D4" s="1"/>
      <c r="E4" s="1"/>
      <c r="F4" s="1"/>
      <c r="G4" s="1"/>
      <c r="H4" s="1"/>
    </row>
    <row r="5" spans="1:8" ht="15" customHeight="1">
      <c r="A5" s="1"/>
      <c r="B5" s="11" t="s">
        <v>70</v>
      </c>
      <c r="C5" s="11"/>
      <c r="D5" s="11"/>
      <c r="E5" s="11"/>
      <c r="F5" s="11"/>
      <c r="G5" s="1"/>
      <c r="H5" s="1"/>
    </row>
    <row r="6" spans="1:8" ht="15" customHeight="1">
      <c r="A6" s="1"/>
      <c r="B6" s="12" t="s">
        <v>71</v>
      </c>
      <c r="C6" s="20">
        <f>SUM(Monthly_Flash!C31:N31)</f>
        <v>24</v>
      </c>
      <c r="D6" s="1"/>
      <c r="E6" s="1"/>
      <c r="F6" s="1"/>
      <c r="G6" s="1"/>
      <c r="H6" s="1"/>
    </row>
    <row r="7" spans="1:8" ht="15" customHeight="1">
      <c r="A7" s="1"/>
      <c r="B7" s="12" t="s">
        <v>72</v>
      </c>
      <c r="C7" s="20">
        <f>SUM(Monthly_Flash!C35:N35)</f>
        <v>12</v>
      </c>
      <c r="D7" s="1"/>
      <c r="E7" s="1"/>
      <c r="F7" s="1"/>
      <c r="G7" s="1"/>
      <c r="H7" s="1"/>
    </row>
    <row r="8" spans="1:8" ht="15" customHeight="1">
      <c r="A8" s="1"/>
      <c r="B8" s="12" t="s">
        <v>73</v>
      </c>
      <c r="C8" s="54" cm="1">
        <f t="array" ref="C8">Balance_Sheet!N24</f>
        <v>2</v>
      </c>
      <c r="D8" s="1"/>
      <c r="E8" s="1"/>
      <c r="F8" s="1"/>
      <c r="G8" s="1"/>
      <c r="H8" s="1"/>
    </row>
    <row r="9" spans="1:8" ht="15" customHeight="1">
      <c r="A9" s="1"/>
      <c r="B9" s="1"/>
      <c r="C9" s="1"/>
      <c r="D9" s="1"/>
      <c r="E9" s="1"/>
      <c r="F9" s="1"/>
      <c r="G9" s="1"/>
      <c r="H9" s="1"/>
    </row>
    <row r="10" spans="1:8" ht="15" customHeight="1">
      <c r="A10" s="1"/>
      <c r="B10" s="11" t="s">
        <v>74</v>
      </c>
      <c r="C10" s="11"/>
      <c r="D10" s="11"/>
      <c r="E10" s="11"/>
      <c r="F10" s="11"/>
      <c r="G10" s="1"/>
      <c r="H10" s="1"/>
    </row>
    <row r="11" spans="1:8" ht="15" customHeight="1">
      <c r="A11" s="1"/>
      <c r="B11" s="21" t="s">
        <v>75</v>
      </c>
      <c r="C11" s="22" t="s">
        <v>76</v>
      </c>
      <c r="D11" s="22" t="s">
        <v>77</v>
      </c>
      <c r="E11" s="22" t="s">
        <v>78</v>
      </c>
      <c r="F11" s="22" t="s">
        <v>79</v>
      </c>
      <c r="G11" s="1"/>
      <c r="H11" s="1"/>
    </row>
    <row r="12" spans="1:8" ht="15" customHeight="1">
      <c r="A12" s="1"/>
      <c r="B12" s="23" t="s">
        <v>80</v>
      </c>
      <c r="C12" s="24">
        <f>IF($C$6=0,"n/a",$C$8/$C$6)</f>
        <v>0.083333333333333329</v>
      </c>
      <c r="D12" s="25" cm="1">
        <f t="array" ref="D12">Config!C31</f>
        <v>4.50</v>
      </c>
      <c r="E12" s="24">
        <f>IF($C$12="n/a","n/a",D12-C12)</f>
        <v>4.416666666666667</v>
      </c>
      <c r="F12" s="26" t="str">
        <f>IF($C$12="n/a","n/a",IF(C12&lt;=D12,"OK","ERROR"))</f>
        <v>OK</v>
      </c>
      <c r="G12" s="1"/>
      <c r="H12" s="1"/>
    </row>
    <row r="13" spans="1:8" ht="15" customHeight="1">
      <c r="A13" s="1"/>
      <c r="B13" s="23" t="s">
        <v>81</v>
      </c>
      <c r="C13" s="55">
        <f>IF($C$7=0,"n/a",$C$6/$C$7)</f>
        <v>2</v>
      </c>
      <c r="D13" s="27" cm="1">
        <f t="array" ref="D13">Config!C32</f>
        <v>3</v>
      </c>
      <c r="E13" s="24">
        <f>IF($C$13="n/a","n/a",C13-D13)</f>
        <v>-1</v>
      </c>
      <c r="F13" s="26" t="str">
        <f>IF($C$13="n/a","n/a",IF(C13&gt;=D13,"OK","ERROR"))</f>
        <v>ERROR</v>
      </c>
      <c r="G13" s="1"/>
      <c r="H13" s="1"/>
    </row>
    <row r="14" spans="1:8" ht="15" customHeight="1">
      <c r="A14" s="1"/>
      <c r="B14" s="1"/>
      <c r="C14" s="1"/>
      <c r="D14" s="1"/>
      <c r="E14" s="1"/>
      <c r="F14" s="1"/>
      <c r="G14" s="1"/>
      <c r="H14" s="1"/>
    </row>
    <row r="15" spans="1:8" ht="15" customHeight="1">
      <c r="A15" s="1"/>
      <c r="B15" s="8" t="s">
        <v>82</v>
      </c>
      <c r="C15" s="1"/>
      <c r="D15" s="1"/>
      <c r="E15" s="1"/>
      <c r="F15" s="1"/>
      <c r="G15" s="1"/>
      <c r="H15" s="1"/>
    </row>
    <row r="16" spans="1:8" ht="15" customHeight="1">
      <c r="A16" s="1"/>
      <c r="B16" s="1"/>
      <c r="C16" s="1"/>
      <c r="D16" s="1"/>
      <c r="E16" s="1"/>
      <c r="F16" s="1"/>
      <c r="G16" s="1"/>
      <c r="H16" s="1"/>
    </row>
    <row r="17" spans="1:8" ht="15" customHeight="1">
      <c r="A17" s="1"/>
      <c r="B17" s="1"/>
      <c r="C17" s="1"/>
      <c r="D17" s="1"/>
      <c r="E17" s="1"/>
      <c r="F17" s="1"/>
      <c r="G17" s="1"/>
      <c r="H17" s="1"/>
    </row>
    <row r="18" spans="1:8" ht="15" customHeight="1">
      <c r="A18" s="1"/>
      <c r="B18" s="1"/>
      <c r="C18" s="1"/>
      <c r="D18" s="1"/>
      <c r="E18" s="1"/>
      <c r="F18" s="1"/>
      <c r="G18" s="1"/>
      <c r="H18" s="1"/>
    </row>
    <row r="19" spans="1:8" ht="15" customHeight="1">
      <c r="A19" s="1"/>
      <c r="B19" s="1"/>
      <c r="C19" s="1"/>
      <c r="D19" s="1"/>
      <c r="E19" s="1"/>
      <c r="F19" s="1"/>
      <c r="G19" s="1"/>
      <c r="H19" s="1"/>
    </row>
    <row r="20" spans="1:8" ht="15" customHeight="1">
      <c r="A20" s="1"/>
      <c r="B20" s="1"/>
      <c r="C20" s="1"/>
      <c r="D20" s="1"/>
      <c r="E20" s="1"/>
      <c r="F20" s="1"/>
      <c r="G20" s="1"/>
      <c r="H20" s="1"/>
    </row>
    <row r="21" spans="1:8" ht="15" customHeight="1">
      <c r="A21" s="1"/>
      <c r="B21" s="1"/>
      <c r="C21" s="1"/>
      <c r="D21" s="1"/>
      <c r="E21" s="1"/>
      <c r="F21" s="1"/>
      <c r="G21" s="1"/>
      <c r="H21" s="1"/>
    </row>
    <row r="22" spans="1:8" ht="15" customHeight="1">
      <c r="A22" s="1"/>
      <c r="B22" s="1"/>
      <c r="C22" s="1"/>
      <c r="D22" s="1"/>
      <c r="E22" s="1"/>
      <c r="F22" s="1"/>
      <c r="G22" s="1"/>
      <c r="H22" s="1"/>
    </row>
    <row r="23" spans="1:8" ht="15" customHeight="1">
      <c r="A23" s="1"/>
      <c r="B23" s="1"/>
      <c r="C23" s="1"/>
      <c r="D23" s="1"/>
      <c r="E23" s="1"/>
      <c r="F23" s="1"/>
      <c r="G23" s="1"/>
      <c r="H23" s="1"/>
    </row>
    <row r="24" spans="1:8" ht="15" customHeight="1">
      <c r="A24" s="1"/>
      <c r="B24" s="1"/>
      <c r="C24" s="1"/>
      <c r="D24" s="1"/>
      <c r="E24" s="1"/>
      <c r="F24" s="1"/>
      <c r="G24" s="1"/>
      <c r="H24" s="1"/>
    </row>
    <row r="25" spans="1:8" ht="15" customHeight="1">
      <c r="A25" s="1"/>
      <c r="B25" s="1"/>
      <c r="C25" s="1"/>
      <c r="D25" s="1"/>
      <c r="E25" s="1"/>
      <c r="F25" s="1"/>
      <c r="G25" s="1"/>
      <c r="H25" s="1"/>
    </row>
    <row r="26" spans="1:8" ht="15" customHeight="1">
      <c r="A26" s="1"/>
      <c r="B26" s="1"/>
      <c r="C26" s="1"/>
      <c r="D26" s="1"/>
      <c r="E26" s="1"/>
      <c r="F26" s="1"/>
      <c r="G26" s="1"/>
      <c r="H26" s="1"/>
    </row>
    <row r="27" spans="1:8" ht="15" customHeight="1">
      <c r="A27" s="1"/>
      <c r="B27" s="1"/>
      <c r="C27" s="1"/>
      <c r="D27" s="1"/>
      <c r="E27" s="1"/>
      <c r="F27" s="1"/>
      <c r="G27" s="1"/>
      <c r="H27" s="1"/>
    </row>
    <row r="28" spans="1:8" ht="15" customHeight="1">
      <c r="A28" s="1"/>
      <c r="B28" s="1"/>
      <c r="C28" s="1"/>
      <c r="D28" s="1"/>
      <c r="E28" s="1"/>
      <c r="F28" s="1"/>
      <c r="G28" s="1"/>
      <c r="H28" s="1"/>
    </row>
    <row r="29" spans="1:8" ht="15" customHeight="1">
      <c r="A29" s="1"/>
      <c r="B29" s="1"/>
      <c r="C29" s="1"/>
      <c r="D29" s="1"/>
      <c r="E29" s="1"/>
      <c r="F29" s="1"/>
      <c r="G29" s="1"/>
      <c r="H29" s="1"/>
    </row>
    <row r="30" spans="1:8" ht="15" customHeight="1">
      <c r="A30" s="1"/>
      <c r="B30" s="1"/>
      <c r="C30" s="1"/>
      <c r="D30" s="1"/>
      <c r="E30" s="1"/>
      <c r="F30" s="1"/>
      <c r="G30" s="1"/>
      <c r="H30" s="1"/>
    </row>
  </sheetData>
  <sheetProtection sheet="1" autoFilter="0"/>
  <pageMargins left="0.7" right="0.7" top="0.75" bottom="0.75" header="0.3" footer="0.3"/>
  <pageSetup orientation="portrait" paperSize="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AA5051E-2BC1-8729-05E7-817A84D1F108}">
  <dimension ref="A1:P30"/>
  <sheetViews>
    <sheetView showGridLines="0" workbookViewId="0" topLeftCell="B2">
      <selection pane="topLeft" activeCell="C12" sqref="C12:N12"/>
    </sheetView>
  </sheetViews>
  <sheetFormatPr defaultColWidth="7.755" defaultRowHeight="15" customHeight="1"/>
  <cols>
    <col min="1" max="1" width="1.5" customWidth="1"/>
    <col min="2" max="2" width="26.25" customWidth="1"/>
  </cols>
  <sheetData>
    <row r="1" spans="1:16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1" customHeight="1">
      <c r="A2" s="1"/>
      <c r="B2" s="9" t="s">
        <v>83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1"/>
      <c r="P2" s="1"/>
    </row>
    <row r="3" spans="1:16" ht="15" customHeight="1">
      <c r="A3" s="1"/>
      <c r="B3" s="8" t="str">
        <f>ReportingEntity&amp;"  |  As of "&amp;TEXT(AsOfDate,"dd mmm yyyy")</f>
        <v>Group (Consolidated)  |  As of 30 Jun 2026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1"/>
      <c r="P3" s="1"/>
    </row>
    <row r="4" spans="1:16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15" customHeight="1">
      <c r="A5" s="1"/>
      <c r="B5" s="1"/>
      <c r="C5" s="10" cm="1">
        <f t="array" ref="C5">Monthly_Flash!C5</f>
        <v>45839</v>
      </c>
      <c r="D5" s="10" cm="1">
        <f t="array" ref="D5">Monthly_Flash!D5</f>
        <v>45870</v>
      </c>
      <c r="E5" s="10" cm="1">
        <f t="array" ref="E5">Monthly_Flash!E5</f>
        <v>45901</v>
      </c>
      <c r="F5" s="10" cm="1">
        <f t="array" ref="F5">Monthly_Flash!F5</f>
        <v>45931</v>
      </c>
      <c r="G5" s="10" cm="1">
        <f t="array" ref="G5">Monthly_Flash!G5</f>
        <v>45962</v>
      </c>
      <c r="H5" s="10" cm="1">
        <f t="array" ref="H5">Monthly_Flash!H5</f>
        <v>45992</v>
      </c>
      <c r="I5" s="10" cm="1">
        <f t="array" ref="I5">Monthly_Flash!I5</f>
        <v>46023</v>
      </c>
      <c r="J5" s="10" cm="1">
        <f t="array" ref="J5">Monthly_Flash!J5</f>
        <v>46054</v>
      </c>
      <c r="K5" s="10" cm="1">
        <f t="array" ref="K5">Monthly_Flash!K5</f>
        <v>46082</v>
      </c>
      <c r="L5" s="10" cm="1">
        <f t="array" ref="L5">Monthly_Flash!L5</f>
        <v>46113</v>
      </c>
      <c r="M5" s="10" cm="1">
        <f t="array" ref="M5">Monthly_Flash!M5</f>
        <v>46143</v>
      </c>
      <c r="N5" s="10" cm="1">
        <f t="array" ref="N5">Monthly_Flash!N5</f>
        <v>46174</v>
      </c>
      <c r="O5" s="1"/>
      <c r="P5" s="1"/>
    </row>
    <row r="6" spans="1:16" ht="15" customHeight="1">
      <c r="A6" s="1"/>
      <c r="B6" s="11" t="s">
        <v>84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"/>
      <c r="P6" s="1"/>
    </row>
    <row r="7" spans="1:16" ht="15" customHeight="1">
      <c r="A7" s="1"/>
      <c r="B7" s="12" t="s">
        <v>49</v>
      </c>
      <c r="C7" s="56" cm="1">
        <f t="array" ref="C7">Monthly_Flash!C42</f>
        <v>1</v>
      </c>
      <c r="D7" s="56" cm="1">
        <f t="array" ref="D7">Monthly_Flash!D42</f>
        <v>1</v>
      </c>
      <c r="E7" s="56" cm="1">
        <f t="array" ref="E7">Monthly_Flash!E42</f>
        <v>1</v>
      </c>
      <c r="F7" s="56" cm="1">
        <f t="array" ref="F7">Monthly_Flash!F42</f>
        <v>1</v>
      </c>
      <c r="G7" s="56" cm="1">
        <f t="array" ref="G7">Monthly_Flash!G42</f>
        <v>1</v>
      </c>
      <c r="H7" s="56" cm="1">
        <f t="array" ref="H7">Monthly_Flash!H42</f>
        <v>1</v>
      </c>
      <c r="I7" s="56" cm="1">
        <f t="array" ref="I7">Monthly_Flash!I42</f>
        <v>1</v>
      </c>
      <c r="J7" s="56" cm="1">
        <f t="array" ref="J7">Monthly_Flash!J42</f>
        <v>1</v>
      </c>
      <c r="K7" s="56" cm="1">
        <f t="array" ref="K7">Monthly_Flash!K42</f>
        <v>1</v>
      </c>
      <c r="L7" s="56" cm="1">
        <f t="array" ref="L7">Monthly_Flash!L42</f>
        <v>1</v>
      </c>
      <c r="M7" s="56" cm="1">
        <f t="array" ref="M7">Monthly_Flash!M42</f>
        <v>1</v>
      </c>
      <c r="N7" s="56" cm="1">
        <f t="array" ref="N7">Monthly_Flash!N42</f>
        <v>1</v>
      </c>
      <c r="O7" s="1"/>
      <c r="P7" s="1"/>
    </row>
    <row r="8" spans="1:16" ht="15" customHeight="1">
      <c r="A8" s="1"/>
      <c r="B8" s="12" t="s">
        <v>85</v>
      </c>
      <c r="C8" s="57">
        <v>1</v>
      </c>
      <c r="D8" s="57">
        <v>1</v>
      </c>
      <c r="E8" s="57">
        <v>1</v>
      </c>
      <c r="F8" s="57">
        <v>1</v>
      </c>
      <c r="G8" s="57">
        <v>1</v>
      </c>
      <c r="H8" s="57">
        <v>1</v>
      </c>
      <c r="I8" s="57">
        <v>1</v>
      </c>
      <c r="J8" s="57">
        <v>1</v>
      </c>
      <c r="K8" s="57">
        <v>1</v>
      </c>
      <c r="L8" s="57">
        <v>1</v>
      </c>
      <c r="M8" s="57">
        <v>1</v>
      </c>
      <c r="N8" s="57">
        <v>1</v>
      </c>
      <c r="O8" s="1"/>
      <c r="P8" s="1"/>
    </row>
    <row r="9" spans="1:16" ht="15" customHeight="1">
      <c r="A9" s="1"/>
      <c r="B9" s="12" t="s">
        <v>48</v>
      </c>
      <c r="C9" s="58" cm="1">
        <f t="array" ref="C9">Monthly_Flash!C41</f>
        <v>1</v>
      </c>
      <c r="D9" s="58" cm="1">
        <f t="array" ref="D9">Monthly_Flash!D41</f>
        <v>1</v>
      </c>
      <c r="E9" s="58" cm="1">
        <f t="array" ref="E9">Monthly_Flash!E41</f>
        <v>1</v>
      </c>
      <c r="F9" s="58" cm="1">
        <f t="array" ref="F9">Monthly_Flash!F41</f>
        <v>1</v>
      </c>
      <c r="G9" s="58" cm="1">
        <f t="array" ref="G9">Monthly_Flash!G41</f>
        <v>1</v>
      </c>
      <c r="H9" s="58" cm="1">
        <f t="array" ref="H9">Monthly_Flash!H41</f>
        <v>1</v>
      </c>
      <c r="I9" s="58" cm="1">
        <f t="array" ref="I9">Monthly_Flash!I41</f>
        <v>1</v>
      </c>
      <c r="J9" s="58" cm="1">
        <f t="array" ref="J9">Monthly_Flash!J41</f>
        <v>1</v>
      </c>
      <c r="K9" s="58" cm="1">
        <f t="array" ref="K9">Monthly_Flash!K41</f>
        <v>1</v>
      </c>
      <c r="L9" s="58" cm="1">
        <f t="array" ref="L9">Monthly_Flash!L41</f>
        <v>1</v>
      </c>
      <c r="M9" s="58" cm="1">
        <f t="array" ref="M9">Monthly_Flash!M41</f>
        <v>1</v>
      </c>
      <c r="N9" s="58" cm="1">
        <f t="array" ref="N9">Monthly_Flash!N41</f>
        <v>1</v>
      </c>
      <c r="O9" s="1"/>
      <c r="P9" s="1"/>
    </row>
    <row r="10" spans="1:16" ht="15" customHeight="1">
      <c r="A10" s="1"/>
      <c r="B10" s="12" t="s">
        <v>86</v>
      </c>
      <c r="C10" s="29">
        <f>IF(Monthly_Flash!C41=0,"",Monthly_Flash!C10*12*1000/Monthly_Flash!C41)</f>
        <v>36000</v>
      </c>
      <c r="D10" s="29">
        <f>IF(Monthly_Flash!D41=0,"",Monthly_Flash!D10*12*1000/Monthly_Flash!D41)</f>
        <v>36000</v>
      </c>
      <c r="E10" s="29">
        <f>IF(Monthly_Flash!E41=0,"",Monthly_Flash!E10*12*1000/Monthly_Flash!E41)</f>
        <v>36000</v>
      </c>
      <c r="F10" s="29">
        <f>IF(Monthly_Flash!F41=0,"",Monthly_Flash!F10*12*1000/Monthly_Flash!F41)</f>
        <v>36000</v>
      </c>
      <c r="G10" s="29">
        <f>IF(Monthly_Flash!G41=0,"",Monthly_Flash!G10*12*1000/Monthly_Flash!G41)</f>
        <v>36000</v>
      </c>
      <c r="H10" s="29">
        <f>IF(Monthly_Flash!H41=0,"",Monthly_Flash!H10*12*1000/Monthly_Flash!H41)</f>
        <v>36000</v>
      </c>
      <c r="I10" s="29">
        <f>IF(Monthly_Flash!I41=0,"",Monthly_Flash!I10*12*1000/Monthly_Flash!I41)</f>
        <v>36000</v>
      </c>
      <c r="J10" s="29">
        <f>IF(Monthly_Flash!J41=0,"",Monthly_Flash!J10*12*1000/Monthly_Flash!J41)</f>
        <v>36000</v>
      </c>
      <c r="K10" s="29">
        <f>IF(Monthly_Flash!K41=0,"",Monthly_Flash!K10*12*1000/Monthly_Flash!K41)</f>
        <v>36000</v>
      </c>
      <c r="L10" s="29">
        <f>IF(Monthly_Flash!L41=0,"",Monthly_Flash!L10*12*1000/Monthly_Flash!L41)</f>
        <v>36000</v>
      </c>
      <c r="M10" s="29">
        <f>IF(Monthly_Flash!M41=0,"",Monthly_Flash!M10*12*1000/Monthly_Flash!M41)</f>
        <v>36000</v>
      </c>
      <c r="N10" s="29">
        <f>IF(Monthly_Flash!N41=0,"",Monthly_Flash!N10*12*1000/Monthly_Flash!N41)</f>
        <v>36000</v>
      </c>
      <c r="O10" s="1"/>
      <c r="P10" s="1"/>
    </row>
    <row r="11" spans="1:16" ht="15" customHeight="1">
      <c r="A11" s="1"/>
      <c r="B11" s="12" t="s">
        <v>87</v>
      </c>
      <c r="C11" s="57">
        <v>1</v>
      </c>
      <c r="D11" s="57">
        <v>1</v>
      </c>
      <c r="E11" s="57">
        <v>1</v>
      </c>
      <c r="F11" s="57">
        <v>1</v>
      </c>
      <c r="G11" s="57">
        <v>1</v>
      </c>
      <c r="H11" s="57">
        <v>1</v>
      </c>
      <c r="I11" s="57">
        <v>1</v>
      </c>
      <c r="J11" s="57">
        <v>1</v>
      </c>
      <c r="K11" s="57">
        <v>1</v>
      </c>
      <c r="L11" s="57">
        <v>1</v>
      </c>
      <c r="M11" s="57">
        <v>1</v>
      </c>
      <c r="N11" s="57">
        <v>1</v>
      </c>
      <c r="O11" s="1"/>
      <c r="P11" s="1"/>
    </row>
    <row r="12" spans="1:16" ht="15" customHeight="1">
      <c r="A12" s="1"/>
      <c r="B12" s="12" t="s">
        <v>88</v>
      </c>
      <c r="C12" s="57">
        <v>1</v>
      </c>
      <c r="D12" s="57">
        <v>1</v>
      </c>
      <c r="E12" s="57">
        <v>1</v>
      </c>
      <c r="F12" s="57">
        <v>1</v>
      </c>
      <c r="G12" s="57">
        <v>1</v>
      </c>
      <c r="H12" s="57">
        <v>1</v>
      </c>
      <c r="I12" s="57">
        <v>1</v>
      </c>
      <c r="J12" s="57">
        <v>1</v>
      </c>
      <c r="K12" s="57">
        <v>1</v>
      </c>
      <c r="L12" s="57">
        <v>1</v>
      </c>
      <c r="M12" s="57">
        <v>1</v>
      </c>
      <c r="N12" s="57">
        <v>1</v>
      </c>
      <c r="O12" s="1"/>
      <c r="P12" s="1"/>
    </row>
    <row r="13" spans="1:16" ht="15" customHeight="1">
      <c r="A13" s="1"/>
      <c r="B13" s="12" t="s">
        <v>89</v>
      </c>
      <c r="C13" s="30">
        <f>IF(Monthly_Flash!C10=0,"",Monthly_Flash!C22/Monthly_Flash!C10)</f>
        <v>-1</v>
      </c>
      <c r="D13" s="30">
        <f>IF(Monthly_Flash!D10=0,"",Monthly_Flash!D22/Monthly_Flash!D10)</f>
        <v>-1</v>
      </c>
      <c r="E13" s="30">
        <f>IF(Monthly_Flash!E10=0,"",Monthly_Flash!E22/Monthly_Flash!E10)</f>
        <v>-1</v>
      </c>
      <c r="F13" s="30">
        <f>IF(Monthly_Flash!F10=0,"",Monthly_Flash!F22/Monthly_Flash!F10)</f>
        <v>-1</v>
      </c>
      <c r="G13" s="30">
        <f>IF(Monthly_Flash!G10=0,"",Monthly_Flash!G22/Monthly_Flash!G10)</f>
        <v>-1</v>
      </c>
      <c r="H13" s="30">
        <f>IF(Monthly_Flash!H10=0,"",Monthly_Flash!H22/Monthly_Flash!H10)</f>
        <v>-1</v>
      </c>
      <c r="I13" s="30">
        <f>IF(Monthly_Flash!I10=0,"",Monthly_Flash!I22/Monthly_Flash!I10)</f>
        <v>-1</v>
      </c>
      <c r="J13" s="30">
        <f>IF(Monthly_Flash!J10=0,"",Monthly_Flash!J22/Monthly_Flash!J10)</f>
        <v>-1</v>
      </c>
      <c r="K13" s="30">
        <f>IF(Monthly_Flash!K10=0,"",Monthly_Flash!K22/Monthly_Flash!K10)</f>
        <v>-1</v>
      </c>
      <c r="L13" s="30">
        <f>IF(Monthly_Flash!L10=0,"",Monthly_Flash!L22/Monthly_Flash!L10)</f>
        <v>-1</v>
      </c>
      <c r="M13" s="30">
        <f>IF(Monthly_Flash!M10=0,"",Monthly_Flash!M22/Monthly_Flash!M10)</f>
        <v>-1</v>
      </c>
      <c r="N13" s="30">
        <f>IF(Monthly_Flash!N10=0,"",Monthly_Flash!N22/Monthly_Flash!N10)</f>
        <v>-1</v>
      </c>
      <c r="O13" s="1"/>
      <c r="P13" s="1"/>
    </row>
    <row r="14" spans="1:16" ht="15" customHeight="1">
      <c r="A14" s="1"/>
      <c r="B14" s="31" t="s">
        <v>90</v>
      </c>
      <c r="C14" s="32">
        <f t="shared" si="0" ref="C14:N14">IF(OR(C12="",C13=""),"",C12+C13)</f>
        <v>0</v>
      </c>
      <c r="D14" s="32">
        <f t="shared" si="0"/>
        <v>0</v>
      </c>
      <c r="E14" s="32">
        <f t="shared" si="0"/>
        <v>0</v>
      </c>
      <c r="F14" s="32">
        <f t="shared" si="0"/>
        <v>0</v>
      </c>
      <c r="G14" s="32">
        <f t="shared" si="0"/>
        <v>0</v>
      </c>
      <c r="H14" s="32">
        <f t="shared" si="0"/>
        <v>0</v>
      </c>
      <c r="I14" s="32">
        <f t="shared" si="0"/>
        <v>0</v>
      </c>
      <c r="J14" s="32">
        <f t="shared" si="0"/>
        <v>0</v>
      </c>
      <c r="K14" s="32">
        <f t="shared" si="0"/>
        <v>0</v>
      </c>
      <c r="L14" s="32">
        <f t="shared" si="0"/>
        <v>0</v>
      </c>
      <c r="M14" s="32">
        <f t="shared" si="0"/>
        <v>0</v>
      </c>
      <c r="N14" s="32">
        <f t="shared" si="0"/>
        <v>0</v>
      </c>
      <c r="O14" s="1"/>
      <c r="P14" s="1"/>
    </row>
    <row r="15" spans="1:16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ht="15" customHeight="1">
      <c r="A16" s="1"/>
      <c r="B16" s="11" t="s">
        <v>91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"/>
      <c r="P16" s="1"/>
    </row>
    <row r="17" spans="1:16" ht="15" customHeight="1">
      <c r="A17" s="1"/>
      <c r="B17" s="59">
        <v>2</v>
      </c>
      <c r="C17" s="60">
        <v>1</v>
      </c>
      <c r="D17" s="60">
        <v>1</v>
      </c>
      <c r="E17" s="60">
        <v>1</v>
      </c>
      <c r="F17" s="60">
        <v>1</v>
      </c>
      <c r="G17" s="60">
        <v>1</v>
      </c>
      <c r="H17" s="60">
        <v>1</v>
      </c>
      <c r="I17" s="60">
        <v>1</v>
      </c>
      <c r="J17" s="60">
        <v>1</v>
      </c>
      <c r="K17" s="60">
        <v>1</v>
      </c>
      <c r="L17" s="60">
        <v>1</v>
      </c>
      <c r="M17" s="60">
        <v>1</v>
      </c>
      <c r="N17" s="60">
        <v>1</v>
      </c>
      <c r="O17" s="1"/>
      <c r="P17" s="1"/>
    </row>
    <row r="18" spans="1:16" ht="15" customHeight="1">
      <c r="A18" s="1"/>
      <c r="B18" s="59">
        <v>2</v>
      </c>
      <c r="C18" s="60">
        <v>1</v>
      </c>
      <c r="D18" s="60">
        <v>1</v>
      </c>
      <c r="E18" s="60">
        <v>1</v>
      </c>
      <c r="F18" s="60">
        <v>1</v>
      </c>
      <c r="G18" s="60">
        <v>1</v>
      </c>
      <c r="H18" s="60">
        <v>1</v>
      </c>
      <c r="I18" s="60">
        <v>1</v>
      </c>
      <c r="J18" s="60">
        <v>1</v>
      </c>
      <c r="K18" s="60">
        <v>1</v>
      </c>
      <c r="L18" s="60">
        <v>1</v>
      </c>
      <c r="M18" s="60">
        <v>1</v>
      </c>
      <c r="N18" s="60">
        <v>1</v>
      </c>
      <c r="O18" s="1"/>
      <c r="P18" s="1"/>
    </row>
    <row r="19" spans="1:16" ht="15" customHeight="1">
      <c r="A19" s="1"/>
      <c r="B19" s="59">
        <v>2</v>
      </c>
      <c r="C19" s="60">
        <v>1</v>
      </c>
      <c r="D19" s="60">
        <v>1</v>
      </c>
      <c r="E19" s="60">
        <v>1</v>
      </c>
      <c r="F19" s="60">
        <v>1</v>
      </c>
      <c r="G19" s="60">
        <v>1</v>
      </c>
      <c r="H19" s="60">
        <v>1</v>
      </c>
      <c r="I19" s="60">
        <v>1</v>
      </c>
      <c r="J19" s="60">
        <v>1</v>
      </c>
      <c r="K19" s="60">
        <v>1</v>
      </c>
      <c r="L19" s="60">
        <v>1</v>
      </c>
      <c r="M19" s="60">
        <v>1</v>
      </c>
      <c r="N19" s="60">
        <v>1</v>
      </c>
      <c r="O19" s="1"/>
      <c r="P19" s="1"/>
    </row>
    <row r="20" spans="1:16" ht="15" customHeight="1">
      <c r="A20" s="1"/>
      <c r="B20" s="59">
        <v>2</v>
      </c>
      <c r="C20" s="60">
        <v>1</v>
      </c>
      <c r="D20" s="60">
        <v>1</v>
      </c>
      <c r="E20" s="60">
        <v>1</v>
      </c>
      <c r="F20" s="60">
        <v>1</v>
      </c>
      <c r="G20" s="60">
        <v>1</v>
      </c>
      <c r="H20" s="60">
        <v>1</v>
      </c>
      <c r="I20" s="60">
        <v>1</v>
      </c>
      <c r="J20" s="60">
        <v>1</v>
      </c>
      <c r="K20" s="60">
        <v>1</v>
      </c>
      <c r="L20" s="60">
        <v>1</v>
      </c>
      <c r="M20" s="60">
        <v>1</v>
      </c>
      <c r="N20" s="60">
        <v>1</v>
      </c>
      <c r="O20" s="1"/>
      <c r="P20" s="1"/>
    </row>
    <row r="21" spans="1:16" ht="15" customHeight="1">
      <c r="A21" s="1"/>
      <c r="B21" s="59">
        <v>2</v>
      </c>
      <c r="C21" s="60">
        <v>1</v>
      </c>
      <c r="D21" s="60">
        <v>1</v>
      </c>
      <c r="E21" s="60">
        <v>1</v>
      </c>
      <c r="F21" s="60">
        <v>1</v>
      </c>
      <c r="G21" s="60">
        <v>1</v>
      </c>
      <c r="H21" s="60">
        <v>1</v>
      </c>
      <c r="I21" s="60">
        <v>1</v>
      </c>
      <c r="J21" s="60">
        <v>1</v>
      </c>
      <c r="K21" s="60">
        <v>1</v>
      </c>
      <c r="L21" s="60">
        <v>1</v>
      </c>
      <c r="M21" s="60">
        <v>1</v>
      </c>
      <c r="N21" s="60">
        <v>1</v>
      </c>
      <c r="O21" s="1"/>
      <c r="P21" s="1"/>
    </row>
    <row r="22" spans="1:16" ht="15" customHeight="1">
      <c r="A22" s="1"/>
      <c r="B22" s="59">
        <v>2</v>
      </c>
      <c r="C22" s="60">
        <v>1</v>
      </c>
      <c r="D22" s="60">
        <v>1</v>
      </c>
      <c r="E22" s="60">
        <v>1</v>
      </c>
      <c r="F22" s="60">
        <v>1</v>
      </c>
      <c r="G22" s="60">
        <v>1</v>
      </c>
      <c r="H22" s="60">
        <v>1</v>
      </c>
      <c r="I22" s="60">
        <v>1</v>
      </c>
      <c r="J22" s="60">
        <v>1</v>
      </c>
      <c r="K22" s="60">
        <v>1</v>
      </c>
      <c r="L22" s="60">
        <v>1</v>
      </c>
      <c r="M22" s="60">
        <v>1</v>
      </c>
      <c r="N22" s="60">
        <v>1</v>
      </c>
      <c r="O22" s="1"/>
      <c r="P22" s="1"/>
    </row>
    <row r="23" spans="1:16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ht="15" customHeight="1">
      <c r="A24" s="1"/>
      <c r="B24" s="8" t="s">
        <v>98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</sheetData>
  <sheetProtection autoFilter="0"/>
  <pageMargins left="0.7" right="0.7" top="0.75" bottom="0.75" header="0.3" footer="0.3"/>
  <pageSetup orientation="portrait" paperSize="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5315C45-E0B8-A938-67C8-1215501509C4}">
  <dimension ref="A1:G20"/>
  <sheetViews>
    <sheetView showGridLines="0" workbookViewId="0" topLeftCell="B2"/>
  </sheetViews>
  <sheetFormatPr defaultColWidth="7.755" defaultRowHeight="15" customHeight="1"/>
  <cols>
    <col min="1" max="1" width="1.5" customWidth="1"/>
    <col min="2" max="2" width="52.5" customWidth="1"/>
    <col min="3" max="4" width="11.25" customWidth="1"/>
  </cols>
  <sheetData>
    <row r="1" spans="1:7" ht="15" customHeight="1">
      <c r="A1" s="1"/>
      <c r="B1" s="1"/>
      <c r="C1" s="1"/>
      <c r="D1" s="1"/>
      <c r="E1" s="1"/>
      <c r="F1" s="1"/>
      <c r="G1" s="1"/>
    </row>
    <row r="2" spans="1:7" ht="21" customHeight="1">
      <c r="A2" s="1"/>
      <c r="B2" s="9" t="s">
        <v>99</v>
      </c>
      <c r="C2" s="9"/>
      <c r="D2" s="9"/>
      <c r="E2" s="9"/>
      <c r="F2" s="1"/>
      <c r="G2" s="1"/>
    </row>
    <row r="3" spans="1:7" ht="15" customHeight="1">
      <c r="A3" s="1"/>
      <c r="B3" s="8" t="s">
        <v>100</v>
      </c>
      <c r="C3" s="8"/>
      <c r="D3" s="8"/>
      <c r="E3" s="8"/>
      <c r="F3" s="1"/>
      <c r="G3" s="1"/>
    </row>
    <row r="4" spans="1:7" ht="15" customHeight="1">
      <c r="A4" s="1"/>
      <c r="B4" s="1"/>
      <c r="C4" s="1"/>
      <c r="D4" s="1"/>
      <c r="E4" s="1"/>
      <c r="F4" s="1"/>
      <c r="G4" s="1"/>
    </row>
    <row r="5" spans="1:7" ht="15" customHeight="1">
      <c r="A5" s="1"/>
      <c r="B5" s="35" t="s">
        <v>101</v>
      </c>
      <c r="C5" s="22" t="s">
        <v>102</v>
      </c>
      <c r="D5" s="22" t="s">
        <v>79</v>
      </c>
      <c r="E5" s="1"/>
      <c r="F5" s="1"/>
      <c r="G5" s="1"/>
    </row>
    <row r="6" spans="1:7" ht="15" customHeight="1">
      <c r="A6" s="1"/>
      <c r="B6" s="23" t="s">
        <v>103</v>
      </c>
      <c r="C6" s="36" cm="1">
        <f t="array" ref="C6">SUMPRODUCT(ABS(Monthly_Flash!C10:AA10-(Monthly_Flash!C7:AA7+Monthly_Flash!C8:AA8+Monthly_Flash!C9:AA9)))</f>
        <v>3</v>
      </c>
      <c r="D6" s="26" t="str">
        <f t="shared" si="0" ref="D6:D10">IF(ABS(C6)&lt;0.001,"OK","ERROR")</f>
        <v>ERROR</v>
      </c>
      <c r="E6" s="1"/>
      <c r="F6" s="1"/>
      <c r="G6" s="1"/>
    </row>
    <row r="7" spans="1:7" ht="15" customHeight="1">
      <c r="A7" s="1"/>
      <c r="B7" s="23" t="s">
        <v>104</v>
      </c>
      <c r="C7" s="36" cm="1">
        <f t="array" ref="C7">SUMPRODUCT(ABS(Balance_Sheet!C11:N11-Balance_Sheet!C21:N21))</f>
        <v>24</v>
      </c>
      <c r="D7" s="26" t="str">
        <f t="shared" si="0"/>
        <v>ERROR</v>
      </c>
      <c r="E7" s="1"/>
      <c r="F7" s="1"/>
      <c r="G7" s="1"/>
    </row>
    <row r="8" spans="1:7" ht="15" customHeight="1">
      <c r="A8" s="1"/>
      <c r="B8" s="23" t="s">
        <v>105</v>
      </c>
      <c r="C8" s="36">
        <f>SUM(Monthly_Flash!C31:N31)-Covenants!C6</f>
        <v>0</v>
      </c>
      <c r="D8" s="26" t="str">
        <f t="shared" si="0"/>
        <v>OK</v>
      </c>
      <c r="E8" s="1"/>
      <c r="F8" s="1"/>
      <c r="G8" s="1"/>
    </row>
    <row r="9" spans="1:7" ht="15" customHeight="1">
      <c r="A9" s="1"/>
      <c r="B9" s="23" t="s">
        <v>106</v>
      </c>
      <c r="C9" s="36">
        <f>Balance_Sheet!N24-Covenants!C8</f>
        <v>0</v>
      </c>
      <c r="D9" s="26" t="str">
        <f t="shared" si="0"/>
        <v>OK</v>
      </c>
      <c r="E9" s="1"/>
      <c r="F9" s="1"/>
      <c r="G9" s="1"/>
    </row>
    <row r="10" spans="1:7" ht="15" customHeight="1">
      <c r="A10" s="1"/>
      <c r="B10" s="23" t="s">
        <v>107</v>
      </c>
      <c r="C10" s="36" cm="1">
        <f t="array" ref="C10">SUMPRODUCT(ABS(Monthly_Flash!C41:N41-KPI_Dashboard!C9:N9))</f>
        <v>0</v>
      </c>
      <c r="D10" s="26" t="str">
        <f t="shared" si="0"/>
        <v>OK</v>
      </c>
      <c r="E10" s="1"/>
      <c r="F10" s="1"/>
      <c r="G10" s="1"/>
    </row>
    <row r="11" spans="1:7" ht="15" customHeight="1">
      <c r="A11" s="1"/>
      <c r="B11" s="1"/>
      <c r="C11" s="1"/>
      <c r="D11" s="1"/>
      <c r="E11" s="1"/>
      <c r="F11" s="1"/>
      <c r="G11" s="1"/>
    </row>
    <row r="12" spans="1:7" ht="15" customHeight="1" thickBot="1">
      <c r="A12" s="1"/>
      <c r="B12" s="37" t="s">
        <v>108</v>
      </c>
      <c r="C12" s="38" t="b">
        <f>AND(D6="OK",D7="OK",D8="OK",D9="OK",D10="OK")</f>
        <v>0</v>
      </c>
      <c r="D12" s="37"/>
      <c r="E12" s="1"/>
      <c r="F12" s="1"/>
      <c r="G12" s="1"/>
    </row>
    <row r="13" spans="1:7" ht="15" customHeight="1" thickTop="1">
      <c r="A13" s="1"/>
      <c r="B13" s="1"/>
      <c r="C13" s="1"/>
      <c r="D13" s="1"/>
      <c r="E13" s="1"/>
      <c r="F13" s="1"/>
      <c r="G13" s="1"/>
    </row>
    <row r="14" spans="1:7" ht="15" customHeight="1">
      <c r="A14" s="1"/>
      <c r="B14" s="1"/>
      <c r="C14" s="1"/>
      <c r="D14" s="1"/>
      <c r="E14" s="1"/>
      <c r="F14" s="1"/>
      <c r="G14" s="1"/>
    </row>
    <row r="15" spans="1:7" ht="15" customHeight="1">
      <c r="A15" s="1"/>
      <c r="B15" s="1"/>
      <c r="C15" s="1"/>
      <c r="D15" s="1"/>
      <c r="E15" s="1"/>
      <c r="F15" s="1"/>
      <c r="G15" s="1"/>
    </row>
    <row r="16" spans="1:7" ht="15" customHeight="1">
      <c r="A16" s="1"/>
      <c r="B16" s="1"/>
      <c r="C16" s="1"/>
      <c r="D16" s="1"/>
      <c r="E16" s="1"/>
      <c r="F16" s="1"/>
      <c r="G16" s="1"/>
    </row>
    <row r="17" spans="1:7" ht="15" customHeight="1">
      <c r="A17" s="1"/>
      <c r="B17" s="1"/>
      <c r="C17" s="1"/>
      <c r="D17" s="1"/>
      <c r="E17" s="1"/>
      <c r="F17" s="1"/>
      <c r="G17" s="1"/>
    </row>
    <row r="18" spans="1:7" ht="15" customHeight="1">
      <c r="A18" s="1"/>
      <c r="B18" s="1"/>
      <c r="C18" s="1"/>
      <c r="D18" s="1"/>
      <c r="E18" s="1"/>
      <c r="F18" s="1"/>
      <c r="G18" s="1"/>
    </row>
    <row r="19" spans="1:7" ht="15" customHeight="1">
      <c r="A19" s="1"/>
      <c r="B19" s="1"/>
      <c r="C19" s="1"/>
      <c r="D19" s="1"/>
      <c r="E19" s="1"/>
      <c r="F19" s="1"/>
      <c r="G19" s="1"/>
    </row>
    <row r="20" spans="1:7" ht="15" customHeight="1">
      <c r="A20" s="1"/>
      <c r="B20" s="1"/>
      <c r="C20" s="1"/>
      <c r="D20" s="1"/>
      <c r="E20" s="1"/>
      <c r="F20" s="1"/>
      <c r="G20" s="1"/>
    </row>
  </sheetData>
  <sheetProtection sheet="1" autoFilter="0"/>
  <pageMargins left="0.7" right="0.7" top="0.75" bottom="0.75" header="0.3" footer="0.3"/>
  <pageSetup orientation="portrait" paperSize="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63CD328-BE48-CC98-AA18-0434821383B8}">
  <dimension ref="A1:Z60"/>
  <sheetViews>
    <sheetView showGridLines="0" workbookViewId="0" topLeftCell="B2"/>
  </sheetViews>
  <sheetFormatPr defaultColWidth="7.755" defaultRowHeight="15" customHeight="1"/>
  <cols>
    <col min="1" max="1" width="1.5" customWidth="1"/>
    <col min="2" max="2" width="23.75" customWidth="1"/>
    <col min="3" max="4" width="12.5" customWidth="1"/>
  </cols>
  <sheetData>
    <row r="1" spans="1:26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1" customHeight="1">
      <c r="A2" s="1"/>
      <c r="B2" s="9" t="s">
        <v>109</v>
      </c>
      <c r="C2" s="39"/>
      <c r="D2" s="39"/>
      <c r="E2" s="39"/>
      <c r="F2" s="39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customHeight="1">
      <c r="A5" s="1"/>
      <c r="B5" s="7" t="s">
        <v>110</v>
      </c>
      <c r="C5" s="7"/>
      <c r="D5" s="7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 customHeight="1">
      <c r="A6" s="1"/>
      <c r="B6" s="1" t="s">
        <v>111</v>
      </c>
      <c r="C6" s="40">
        <f>EDATE(DATE(YEAR(AsOfDate),MONTH(AsOfDate),1),-11)</f>
        <v>45839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customHeight="1">
      <c r="A7" s="1"/>
      <c r="B7" s="1" t="s">
        <v>112</v>
      </c>
      <c r="C7" s="40">
        <f>EDATE(C6,11)</f>
        <v>46174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customHeight="1">
      <c r="A10" s="1"/>
      <c r="B10" s="7" t="s">
        <v>113</v>
      </c>
      <c r="C10" s="7"/>
      <c r="D10" s="7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customHeight="1">
      <c r="A11" s="1"/>
      <c r="B11" s="41" t="s">
        <v>3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customHeight="1">
      <c r="A12" s="1"/>
      <c r="B12" s="41" t="s">
        <v>114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customHeight="1">
      <c r="A13" s="1"/>
      <c r="B13" s="41" t="s">
        <v>115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customHeight="1">
      <c r="A14" s="1"/>
      <c r="B14" s="41" t="s">
        <v>116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customHeight="1">
      <c r="A15" s="1"/>
      <c r="B15" s="41" t="s">
        <v>117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customHeight="1">
      <c r="A18" s="1"/>
      <c r="B18" s="7" t="s">
        <v>118</v>
      </c>
      <c r="C18" s="7"/>
      <c r="D18" s="7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customHeight="1">
      <c r="A19" s="1"/>
      <c r="B19" s="1" t="s">
        <v>119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customHeight="1">
      <c r="A20" s="1"/>
      <c r="B20" s="1" t="s">
        <v>120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 customHeight="1">
      <c r="A21" s="1"/>
      <c r="B21" s="1" t="s">
        <v>121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 customHeight="1">
      <c r="A24" s="1"/>
      <c r="B24" s="7" t="s">
        <v>122</v>
      </c>
      <c r="C24" s="7"/>
      <c r="D24" s="7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customHeight="1">
      <c r="A25" s="1"/>
      <c r="B25" s="1" t="s">
        <v>6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customHeight="1">
      <c r="A26" s="1"/>
      <c r="B26" s="1" t="s">
        <v>123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customHeight="1">
      <c r="A27" s="1"/>
      <c r="B27" s="1" t="s">
        <v>124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customHeight="1">
      <c r="A30" s="1"/>
      <c r="B30" s="7" t="s">
        <v>125</v>
      </c>
      <c r="C30" s="7"/>
      <c r="D30" s="7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 customHeight="1">
      <c r="A31" s="1"/>
      <c r="B31" s="1" t="s">
        <v>126</v>
      </c>
      <c r="C31" s="61">
        <v>4.50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 customHeight="1">
      <c r="A32" s="1"/>
      <c r="B32" s="1" t="s">
        <v>127</v>
      </c>
      <c r="C32" s="62">
        <v>3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 customHeight="1">
      <c r="A35" s="1"/>
      <c r="B35" s="7" t="s">
        <v>128</v>
      </c>
      <c r="C35" s="7"/>
      <c r="D35" s="7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 customHeight="1">
      <c r="A36" s="1"/>
      <c r="B36" s="41" t="s">
        <v>92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 customHeight="1">
      <c r="A37" s="1"/>
      <c r="B37" s="41" t="s">
        <v>93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 customHeight="1">
      <c r="A38" s="1"/>
      <c r="B38" s="41" t="s">
        <v>94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 customHeight="1">
      <c r="A39" s="1"/>
      <c r="B39" s="41" t="s">
        <v>95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 customHeight="1">
      <c r="A40" s="1"/>
      <c r="B40" s="41" t="s">
        <v>96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 customHeight="1">
      <c r="A41" s="1"/>
      <c r="B41" s="41" t="s">
        <v>97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 customHeight="1">
      <c r="A42" s="1"/>
      <c r="B42" s="41" t="s">
        <v>129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 customHeight="1">
      <c r="A43" s="1"/>
      <c r="B43" s="41" t="s">
        <v>130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 customHeight="1">
      <c r="A44" s="1"/>
      <c r="B44" s="41" t="s">
        <v>131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 customHeight="1">
      <c r="A45" s="1"/>
      <c r="B45" s="41" t="s">
        <v>132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 customHeight="1">
      <c r="A46" s="1"/>
      <c r="B46" s="41" t="s">
        <v>133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 customHeight="1">
      <c r="A47" s="1"/>
      <c r="B47" s="41" t="s">
        <v>134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</sheetData>
  <sheetProtection sheet="1" autoFilter="0"/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EVAL LEGEND</vt:lpstr>
      <vt:lpstr>Cover</vt:lpstr>
      <vt:lpstr>Monthly_Flash</vt:lpstr>
      <vt:lpstr>Balance_Sheet</vt:lpstr>
      <vt:lpstr>Covenants</vt:lpstr>
      <vt:lpstr>KPI_Dashboard</vt:lpstr>
      <vt:lpstr>Checks</vt:lpstr>
      <vt:lpstr>Config</vt:lpstr>
    </vt:vector>
  </TitlesOfParts>
  <Template/>
  <Manager/>
  <Company>Shortcut</Company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Shortcut</dc:creator>
  <cp:keywords/>
  <dc:description/>
  <cp:lastModifiedBy>Changez Ahmed</cp:lastModifiedBy>
  <dcterms:created xsi:type="dcterms:W3CDTF">2025-05-22T23:41:35Z</dcterms:created>
  <dcterms:modified xsi:type="dcterms:W3CDTF">2026-07-15T08:12:40Z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hortcut_file_id">
    <vt:lpwstr>e6668336-e251-404e-9e16-8807e28d5d25</vt:lpwstr>
  </property>
</Properties>
</file>