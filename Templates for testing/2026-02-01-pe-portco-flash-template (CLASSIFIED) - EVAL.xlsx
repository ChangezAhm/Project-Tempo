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bookViews>
    <workbookView xWindow="-5550" yWindow="-21720" windowWidth="38640" windowHeight="21120" activeTab="1"/>
  </bookViews>
  <sheets>
    <sheet name="EVAL LEGEND" sheetId="9" r:id="rId3"/>
    <sheet name="P&amp;L" sheetId="1" r:id="rId4"/>
    <sheet name="BS" sheetId="2" r:id="rId5"/>
    <sheet name="Cash-Flow" sheetId="3" r:id="rId6"/>
    <sheet name="KPI" sheetId="4" r:id="rId7"/>
    <sheet name="Debt-Ratio" sheetId="5" r:id="rId8"/>
    <sheet name="Debt-Overview" sheetId="6" r:id="rId9"/>
    <sheet name="Adjustment-Types" sheetId="7" r:id="rId10"/>
    <sheet name="Input-Summary" sheetId="8" r:id="rId11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00000000-0006-0000-0000-00000100000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  <comment ref="N19" authorId="0" shapeId="0" xr:uid="{46F29DF0-FC91-489C-AFC1-53FB7334E739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5603C239-1151-4AF9-A541-2AB8E2E6342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45F0D65F-9E2C-47BE-8D10-E5DB00006A7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DFFA0992-4F12-4661-88FA-2DFF07844956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7A096D48-91A8-413E-BE3A-A61D121518D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373EB423-8D5C-467E-91BC-E7BC675CD0F4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<sst xmlns="http://schemas.openxmlformats.org/spreadsheetml/2006/main" count="673" uniqueCount="481">
  <si>
    <t>P&amp;L Flash Input</t>
  </si>
  <si>
    <t>[Company Name]</t>
  </si>
  <si>
    <t>Revenue</t>
  </si>
  <si>
    <t>Budget</t>
  </si>
  <si>
    <t>Cost of Goods Sold</t>
  </si>
  <si>
    <t>Gross Profit</t>
  </si>
  <si>
    <t>Operating Expenses</t>
  </si>
  <si>
    <t>EBITDA</t>
  </si>
  <si>
    <t>EBITDA Adjustments</t>
  </si>
  <si>
    <t>Adj Type</t>
  </si>
  <si>
    <t>Description</t>
  </si>
  <si>
    <t>YTD</t>
  </si>
  <si>
    <t>One-Time Restructuring</t>
  </si>
  <si>
    <t>Transaction Costs</t>
  </si>
  <si>
    <t>Non-Cash Stock Comp</t>
  </si>
  <si>
    <t>Management Fees</t>
  </si>
  <si>
    <t>Integration Costs</t>
  </si>
  <si>
    <t>Total Adjustments</t>
  </si>
  <si>
    <t>Adjusted EBITDA</t>
  </si>
  <si>
    <t>Depreciation</t>
  </si>
  <si>
    <t>Amortization</t>
  </si>
  <si>
    <t>EBIT</t>
  </si>
  <si>
    <t>Interest Expense</t>
  </si>
  <si>
    <t>Other Income / (Expense)</t>
  </si>
  <si>
    <t>EBT</t>
  </si>
  <si>
    <t>Tax Expense</t>
  </si>
  <si>
    <t>Net Income</t>
  </si>
  <si>
    <t>Balance Sheet Flash Input</t>
  </si>
  <si>
    <t>ASSETS</t>
  </si>
  <si>
    <t>Cash &amp; Cash Equivalents</t>
  </si>
  <si>
    <t>Accounts Receivable</t>
  </si>
  <si>
    <t>Inventory</t>
  </si>
  <si>
    <t>Prepaid Expenses</t>
  </si>
  <si>
    <t>Total Current Assets</t>
  </si>
  <si>
    <t>PP&amp;E (Net)</t>
  </si>
  <si>
    <t>Intangibles</t>
  </si>
  <si>
    <t>Goodwill</t>
  </si>
  <si>
    <t>Total Assets</t>
  </si>
  <si>
    <t>LIABILITIES</t>
  </si>
  <si>
    <t>Accounts Payable</t>
  </si>
  <si>
    <t>Accrued Expenses</t>
  </si>
  <si>
    <t>Short-Term Debt</t>
  </si>
  <si>
    <t>Total Current Liabilities</t>
  </si>
  <si>
    <t>Long-Term Debt</t>
  </si>
  <si>
    <t>Total Liabilities</t>
  </si>
  <si>
    <t>EQUITY</t>
  </si>
  <si>
    <t>Total Equity</t>
  </si>
  <si>
    <t>Total Liabilities &amp; Equity</t>
  </si>
  <si>
    <t>Cash Flow Flash Input</t>
  </si>
  <si>
    <t>OPERATING ACTIVITIES</t>
  </si>
  <si>
    <t>(+) Depreciation &amp; Amort</t>
  </si>
  <si>
    <t>(+/-) Working Capital Changes</t>
  </si>
  <si>
    <t>Cash from Operations</t>
  </si>
  <si>
    <t>INVESTING ACTIVITIES</t>
  </si>
  <si>
    <t>CapEx</t>
  </si>
  <si>
    <t>Acquisitions / Disposals</t>
  </si>
  <si>
    <t>Cash from Investing</t>
  </si>
  <si>
    <t>FINANCING ACTIVITIES</t>
  </si>
  <si>
    <t>Debt Draws / (Repayments)</t>
  </si>
  <si>
    <t>Dividends / Distributions</t>
  </si>
  <si>
    <t>Cash from Financing</t>
  </si>
  <si>
    <t>Net Change in Cash</t>
  </si>
  <si>
    <t>Beginning Cash</t>
  </si>
  <si>
    <t>Ending Cash</t>
  </si>
  <si>
    <t>KPI Flash Input</t>
  </si>
  <si>
    <t>FINANCIAL KPIs</t>
  </si>
  <si>
    <t>Revenue Growth (MoM %)</t>
  </si>
  <si>
    <t>Gross Margin (%)</t>
  </si>
  <si>
    <t>EBITDA Margin (%)</t>
  </si>
  <si>
    <t>Net Income Margin (%)</t>
  </si>
  <si>
    <t>Revenue per Employee ($K)</t>
  </si>
  <si>
    <t>OPERATIONAL KPIs</t>
  </si>
  <si>
    <t>Headcount (FTEs)</t>
  </si>
  <si>
    <t>New Hires</t>
  </si>
  <si>
    <t>Voluntary Attrition</t>
  </si>
  <si>
    <t>Customer Count</t>
  </si>
  <si>
    <t>New Customers</t>
  </si>
  <si>
    <t>Churned Customers</t>
  </si>
  <si>
    <t>Net Revenue Retention (%)</t>
  </si>
  <si>
    <t>WORKING CAPITAL KPIs</t>
  </si>
  <si>
    <t>Debt Ratio Flash Input</t>
  </si>
  <si>
    <t>DEBT &amp; CAPITAL METRICS</t>
  </si>
  <si>
    <t>Total Debt Outstanding</t>
  </si>
  <si>
    <t>Net Debt</t>
  </si>
  <si>
    <t>Total Enterprise Value (TEV)</t>
  </si>
  <si>
    <t>Equity Value (TEV - Net Debt)</t>
  </si>
  <si>
    <t>EBITDA METRICS (Monthly)</t>
  </si>
  <si>
    <t>EBITDA (Reported)</t>
  </si>
  <si>
    <t>Run-Rate EBITDA (Input)</t>
  </si>
  <si>
    <t>LEVERAGE RATIOS</t>
  </si>
  <si>
    <t>Gross Leverage (Debt / Adj EBITDA)</t>
  </si>
  <si>
    <t>Net Leverage (Net Debt / Adj EBITDA)</t>
  </si>
  <si>
    <t>Senior Leverage (if applicable)</t>
  </si>
  <si>
    <t>First Lien Leverage</t>
  </si>
  <si>
    <t>Secured Leverage</t>
  </si>
  <si>
    <t>COVERAGE RATIOS</t>
  </si>
  <si>
    <t>Est. Monthly Cash Interest</t>
  </si>
  <si>
    <t>Monthly Principal Amortization</t>
  </si>
  <si>
    <t>Total Debt Service</t>
  </si>
  <si>
    <t>Interest Coverage (EBITDA / Int)</t>
  </si>
  <si>
    <t>Fixed Charge Coverage (EBITDA-CapEx)/DS</t>
  </si>
  <si>
    <t>Cash Interest / EBITDA (%)</t>
  </si>
  <si>
    <t>CASH FLOW METRICS</t>
  </si>
  <si>
    <t>Operating Cash Flow</t>
  </si>
  <si>
    <t>Free Cash Flow (OCF - CapEx)</t>
  </si>
  <si>
    <t>FCF / Debt Service (%)</t>
  </si>
  <si>
    <t>Cash Conversion (FCF / Adj EBITDA)</t>
  </si>
  <si>
    <t>Debt Paydown Capacity (FCF / Debt)</t>
  </si>
  <si>
    <t>VALUATION METRICS</t>
  </si>
  <si>
    <t>TEV / Adj EBITDA</t>
  </si>
  <si>
    <t>TEV / Run-Rate EBITDA</t>
  </si>
  <si>
    <t>TEV / Revenue</t>
  </si>
  <si>
    <t>Equity / Adj EBITDA</t>
  </si>
  <si>
    <t>COVENANT COMPLIANCE</t>
  </si>
  <si>
    <t>Max Leverage Covenant</t>
  </si>
  <si>
    <t>Covenant Cushion (x)</t>
  </si>
  <si>
    <t>Covenant Headroom (%)</t>
  </si>
  <si>
    <t>Debt Overview Flash Input</t>
  </si>
  <si>
    <t>SENIOR SECURED DEBT</t>
  </si>
  <si>
    <t>Revolver - Commitment</t>
  </si>
  <si>
    <t>Revolver - Drawn</t>
  </si>
  <si>
    <t>Revolver - Available</t>
  </si>
  <si>
    <t>Term Loan A - Outstanding</t>
  </si>
  <si>
    <t>Term Loan B - Outstanding</t>
  </si>
  <si>
    <t>Total Senior Secured</t>
  </si>
  <si>
    <t>SUBORDINATED / MEZZ DEBT</t>
  </si>
  <si>
    <t>Second Lien - Outstanding</t>
  </si>
  <si>
    <t>Mezzanine - Outstanding</t>
  </si>
  <si>
    <t>Total Subordinated</t>
  </si>
  <si>
    <t>OTHER DEBT</t>
  </si>
  <si>
    <t>Capital Lease Obligations</t>
  </si>
  <si>
    <t>Seller Notes</t>
  </si>
  <si>
    <t>Other Debt</t>
  </si>
  <si>
    <t>Total Other Debt</t>
  </si>
  <si>
    <t>TOTAL DEBT SUMMARY</t>
  </si>
  <si>
    <t>(-) Cash &amp; Equivalents</t>
  </si>
  <si>
    <t>INTEREST RATE SUMMARY</t>
  </si>
  <si>
    <t>Revolver Rate (%)</t>
  </si>
  <si>
    <t>TLA Rate (%)</t>
  </si>
  <si>
    <t>TLB Rate (%)</t>
  </si>
  <si>
    <t>Blended Interest Rate (%)</t>
  </si>
  <si>
    <t>EBITDA Adjustment Types Reference</t>
  </si>
  <si>
    <t>Adjustment Code</t>
  </si>
  <si>
    <t>Adjustment Type</t>
  </si>
  <si>
    <t>Direction</t>
  </si>
  <si>
    <t>ADD-01</t>
  </si>
  <si>
    <t>Severance, facility closure costs, reorganization expenses</t>
  </si>
  <si>
    <t>Add-back (+)</t>
  </si>
  <si>
    <t>ADD-02</t>
  </si>
  <si>
    <t>M&amp;A fees, legal, accounting, due diligence costs</t>
  </si>
  <si>
    <t>ADD-03</t>
  </si>
  <si>
    <t>Stock-based compensation expense</t>
  </si>
  <si>
    <t>ADD-04</t>
  </si>
  <si>
    <t>Sponsor management/monitoring fees</t>
  </si>
  <si>
    <t>ADD-05</t>
  </si>
  <si>
    <t>Non-Recurring Legal</t>
  </si>
  <si>
    <t>Litigation settlements, unusual legal costs</t>
  </si>
  <si>
    <t>ADD-06</t>
  </si>
  <si>
    <t>Asset Impairment</t>
  </si>
  <si>
    <t>Non-cash goodwill/asset write-downs</t>
  </si>
  <si>
    <t>ADD-07</t>
  </si>
  <si>
    <t>FX Losses (Non-Cash)</t>
  </si>
  <si>
    <t>Unrealized foreign exchange losses</t>
  </si>
  <si>
    <t>ADD-08</t>
  </si>
  <si>
    <t>Post-acquisition integration expenses</t>
  </si>
  <si>
    <t>ADD-09</t>
  </si>
  <si>
    <t>Start-Up Costs</t>
  </si>
  <si>
    <t>New facility/product launch expenses</t>
  </si>
  <si>
    <t>ADD-10</t>
  </si>
  <si>
    <t>Natural Disaster</t>
  </si>
  <si>
    <t>One-time costs from floods, fires, etc.</t>
  </si>
  <si>
    <t>DED-01</t>
  </si>
  <si>
    <t>One-Time Gains</t>
  </si>
  <si>
    <t>Non-recurring income or gains</t>
  </si>
  <si>
    <t>Deduction (-)</t>
  </si>
  <si>
    <t>DED-02</t>
  </si>
  <si>
    <t>Insurance Proceeds</t>
  </si>
  <si>
    <t>Non-operating insurance recoveries</t>
  </si>
  <si>
    <t>DED-03</t>
  </si>
  <si>
    <t>Asset Sale Gains</t>
  </si>
  <si>
    <t>Gains on disposal of assets</t>
  </si>
  <si>
    <t>DED-04</t>
  </si>
  <si>
    <t>FX Gains (Non-Cash)</t>
  </si>
  <si>
    <t>Unrealized foreign exchange gains</t>
  </si>
  <si>
    <t>DED-05</t>
  </si>
  <si>
    <t>Government Grants</t>
  </si>
  <si>
    <t>One-time subsidies or grants</t>
  </si>
  <si>
    <t>OTH-01</t>
  </si>
  <si>
    <t>Run-Rate Adjustment</t>
  </si>
  <si>
    <t>Pro forma for full-year impact of changes</t>
  </si>
  <si>
    <t>Varies</t>
  </si>
  <si>
    <t>OTH-02</t>
  </si>
  <si>
    <t>Synergy Adjustment</t>
  </si>
  <si>
    <t>Expected cost savings from integration</t>
  </si>
  <si>
    <t>OTH-03</t>
  </si>
  <si>
    <t>Other</t>
  </si>
  <si>
    <t>Other adjustment - provide detail in notes</t>
  </si>
  <si>
    <t>LFL-01</t>
  </si>
  <si>
    <t>Like-for-Like Revenue</t>
  </si>
  <si>
    <t>Organic revenue excluding M&amp;A/divestitures</t>
  </si>
  <si>
    <t>Analysis</t>
  </si>
  <si>
    <t>LFL-02</t>
  </si>
  <si>
    <t>Like-for-Like EBITDA</t>
  </si>
  <si>
    <t>Organic EBITDA excluding M&amp;A/divestitures impact</t>
  </si>
  <si>
    <t>LFL-03</t>
  </si>
  <si>
    <t>Currency Impact</t>
  </si>
  <si>
    <t>FX translation adjustment for constant currency comparison</t>
  </si>
  <si>
    <t>LFL-04</t>
  </si>
  <si>
    <t>Price/Volume Split</t>
  </si>
  <si>
    <t>Breakdown of revenue growth into price vs volume</t>
  </si>
  <si>
    <t>MA2-01</t>
  </si>
  <si>
    <t>Acquisition EBITDA Run-Rate</t>
  </si>
  <si>
    <t>Full-year pro forma EBITDA of acquired businesses</t>
  </si>
  <si>
    <t>MA2-02</t>
  </si>
  <si>
    <t>Cost Synergies (Capped)</t>
  </si>
  <si>
    <t>Expected synergies per credit agreement caps (typically 15-25%)</t>
  </si>
  <si>
    <t>MA2-03</t>
  </si>
  <si>
    <t>Revenue Synergies</t>
  </si>
  <si>
    <t>Pro forma revenue uplift from cross-sell/integration</t>
  </si>
  <si>
    <t>MA2-04</t>
  </si>
  <si>
    <t>Deal Pipeline EBITDA</t>
  </si>
  <si>
    <t>EBITDA from signed but not closed acquisitions</t>
  </si>
  <si>
    <t>MA2-05</t>
  </si>
  <si>
    <t>Divestiture Adjustment</t>
  </si>
  <si>
    <t>Remove EBITDA of divested businesses</t>
  </si>
  <si>
    <t>MA2-06</t>
  </si>
  <si>
    <t>Carve-Out Costs</t>
  </si>
  <si>
    <t>One-time separation costs for divestitures</t>
  </si>
  <si>
    <t>Note: LFL = Like-for-Like (organic growth analysis). MA2 = M&amp;A Type 2 (credit agreement / covenant adjustments).</t>
  </si>
  <si>
    <t>PE Portfolio Company Flash Input Summary</t>
  </si>
  <si>
    <t>Sheet</t>
  </si>
  <si>
    <t>Metric</t>
  </si>
  <si>
    <t>December Cell Ref</t>
  </si>
  <si>
    <t>P&amp;L</t>
  </si>
  <si>
    <t>P&amp;L!N5</t>
  </si>
  <si>
    <t>Monthly revenue from sales/services</t>
  </si>
  <si>
    <t>Revenue Budget</t>
  </si>
  <si>
    <t>P&amp;L!N6</t>
  </si>
  <si>
    <t>Budgeted monthly revenue</t>
  </si>
  <si>
    <t>P&amp;L!N7</t>
  </si>
  <si>
    <t>Direct costs of products/services sold</t>
  </si>
  <si>
    <t>COGS Budget</t>
  </si>
  <si>
    <t>P&amp;L!N8</t>
  </si>
  <si>
    <t>Budgeted COGS</t>
  </si>
  <si>
    <t>P&amp;L!N12</t>
  </si>
  <si>
    <t>SG&amp;A, R&amp;D, and other operating costs</t>
  </si>
  <si>
    <t>OpEx Budget</t>
  </si>
  <si>
    <t>P&amp;L!N13</t>
  </si>
  <si>
    <t>Budgeted operating expenses</t>
  </si>
  <si>
    <t>EBITDA Adj Type</t>
  </si>
  <si>
    <t>P&amp;L!B20:B27</t>
  </si>
  <si>
    <t>Select adjustment type from dropdown (One-Time Restructuring, Transaction Costs, etc.)</t>
  </si>
  <si>
    <t>EBITDA Adj Description</t>
  </si>
  <si>
    <t>P&amp;L!C20:C27</t>
  </si>
  <si>
    <t>Brief description of adjustment</t>
  </si>
  <si>
    <t>EBITDA Adj Values</t>
  </si>
  <si>
    <t>P&amp;L!D20:O27</t>
  </si>
  <si>
    <t>Monthly adjustment amounts (positive = add-back, negative = deduction)</t>
  </si>
  <si>
    <t>P&amp;L!N31</t>
  </si>
  <si>
    <t>Monthly depreciation expense</t>
  </si>
  <si>
    <t>Depreciation Budget</t>
  </si>
  <si>
    <t>P&amp;L!N32</t>
  </si>
  <si>
    <t>Budgeted depreciation</t>
  </si>
  <si>
    <t>P&amp;L!N33</t>
  </si>
  <si>
    <t>Monthly amortization of intangibles</t>
  </si>
  <si>
    <t>Amortization Budget</t>
  </si>
  <si>
    <t>P&amp;L!N34</t>
  </si>
  <si>
    <t>Budgeted amortization</t>
  </si>
  <si>
    <t>P&amp;L!N38</t>
  </si>
  <si>
    <t>Interest paid on debt</t>
  </si>
  <si>
    <t>Interest Budget</t>
  </si>
  <si>
    <t>P&amp;L!N39</t>
  </si>
  <si>
    <t>Budgeted interest expense</t>
  </si>
  <si>
    <t>Other Income/(Expense)</t>
  </si>
  <si>
    <t>P&amp;L!N40</t>
  </si>
  <si>
    <t>Non-operating income or expenses</t>
  </si>
  <si>
    <t>Other Inc/Exp Budget</t>
  </si>
  <si>
    <t>P&amp;L!N41</t>
  </si>
  <si>
    <t>Budgeted other income/expense</t>
  </si>
  <si>
    <t>BS</t>
  </si>
  <si>
    <t>BS!N6</t>
  </si>
  <si>
    <t>Cash, bank accounts, money market funds</t>
  </si>
  <si>
    <t>Cash Budget</t>
  </si>
  <si>
    <t>BS!N7</t>
  </si>
  <si>
    <t>Budgeted cash balance</t>
  </si>
  <si>
    <t>BS!N8</t>
  </si>
  <si>
    <t>Trade receivables from customers</t>
  </si>
  <si>
    <t>AR Budget</t>
  </si>
  <si>
    <t>BS!N9</t>
  </si>
  <si>
    <t>Budgeted AR balance</t>
  </si>
  <si>
    <t>BS!N10</t>
  </si>
  <si>
    <t>Raw materials, WIP, finished goods</t>
  </si>
  <si>
    <t>Inventory Budget</t>
  </si>
  <si>
    <t>BS!N11</t>
  </si>
  <si>
    <t>Budgeted inventory</t>
  </si>
  <si>
    <t>BS!N12</t>
  </si>
  <si>
    <t>Prepaid rent, insurance, etc.</t>
  </si>
  <si>
    <t>Prepaid Budget</t>
  </si>
  <si>
    <t>BS!N13</t>
  </si>
  <si>
    <t>Budgeted prepaids</t>
  </si>
  <si>
    <t>BS!N17</t>
  </si>
  <si>
    <t>Property, plant &amp; equipment net of depreciation</t>
  </si>
  <si>
    <t>PP&amp;E Budget</t>
  </si>
  <si>
    <t>BS!N18</t>
  </si>
  <si>
    <t>Budgeted PP&amp;E</t>
  </si>
  <si>
    <t>BS!N19</t>
  </si>
  <si>
    <t>Patents, trademarks, software, etc.</t>
  </si>
  <si>
    <t>Intangibles Budget</t>
  </si>
  <si>
    <t>BS!N20</t>
  </si>
  <si>
    <t>Budgeted intangibles</t>
  </si>
  <si>
    <t>BS!N21</t>
  </si>
  <si>
    <t>Goodwill from acquisitions</t>
  </si>
  <si>
    <t>Goodwill Budget</t>
  </si>
  <si>
    <t>BS!N22</t>
  </si>
  <si>
    <t>Budgeted goodwill</t>
  </si>
  <si>
    <t>BS!N27</t>
  </si>
  <si>
    <t>Trade payables to suppliers</t>
  </si>
  <si>
    <t>AP Budget</t>
  </si>
  <si>
    <t>BS!N28</t>
  </si>
  <si>
    <t>Budgeted AP</t>
  </si>
  <si>
    <t>BS!N29</t>
  </si>
  <si>
    <t>Wages, taxes, interest accrued</t>
  </si>
  <si>
    <t>Accrued Budget</t>
  </si>
  <si>
    <t>BS!N30</t>
  </si>
  <si>
    <t>Budgeted accruals</t>
  </si>
  <si>
    <t>BS!N31</t>
  </si>
  <si>
    <t>Debt due within 12 months</t>
  </si>
  <si>
    <t>ST Debt Budget</t>
  </si>
  <si>
    <t>BS!N32</t>
  </si>
  <si>
    <t>Budgeted short-term debt</t>
  </si>
  <si>
    <t>BS!N36</t>
  </si>
  <si>
    <t>Debt due beyond 12 months</t>
  </si>
  <si>
    <t>LT Debt Budget</t>
  </si>
  <si>
    <t>BS!N37</t>
  </si>
  <si>
    <t>Budgeted long-term debt</t>
  </si>
  <si>
    <t>Cash-Flow</t>
  </si>
  <si>
    <t>Cash-Flow!N6</t>
  </si>
  <si>
    <t>Net income from P&amp;L (or override here)</t>
  </si>
  <si>
    <t>Net Income Budget</t>
  </si>
  <si>
    <t>Cash-Flow!N7</t>
  </si>
  <si>
    <t>Budgeted net income</t>
  </si>
  <si>
    <t>(+) D&amp;A</t>
  </si>
  <si>
    <t>Cash-Flow!N8</t>
  </si>
  <si>
    <t>Depreciation &amp; amortization add-back</t>
  </si>
  <si>
    <t>D&amp;A Budget</t>
  </si>
  <si>
    <t>Cash-Flow!N9</t>
  </si>
  <si>
    <t>Budgeted D&amp;A</t>
  </si>
  <si>
    <t>(+/-) Working Capital Chg</t>
  </si>
  <si>
    <t>Cash-Flow!N10</t>
  </si>
  <si>
    <t>Change in AR, inventory, AP, accruals</t>
  </si>
  <si>
    <t>WC Change Budget</t>
  </si>
  <si>
    <t>Cash-Flow!N11</t>
  </si>
  <si>
    <t>Budgeted working capital change</t>
  </si>
  <si>
    <t>Cash-Flow!N16</t>
  </si>
  <si>
    <t>Capital expenditures (negative)</t>
  </si>
  <si>
    <t>CapEx Budget</t>
  </si>
  <si>
    <t>Cash-Flow!N17</t>
  </si>
  <si>
    <t>Budgeted CapEx</t>
  </si>
  <si>
    <t>Acquisitions/Disposals</t>
  </si>
  <si>
    <t>Cash-Flow!N18</t>
  </si>
  <si>
    <t>M&amp;A activity cash flows</t>
  </si>
  <si>
    <t>M&amp;A Budget</t>
  </si>
  <si>
    <t>Cash-Flow!N19</t>
  </si>
  <si>
    <t>Budgeted M&amp;A</t>
  </si>
  <si>
    <t>Debt Draws/(Repayments)</t>
  </si>
  <si>
    <t>Cash-Flow!N24</t>
  </si>
  <si>
    <t>Net borrowings or repayments</t>
  </si>
  <si>
    <t>Debt Budget</t>
  </si>
  <si>
    <t>Cash-Flow!N25</t>
  </si>
  <si>
    <t>Budgeted debt activity</t>
  </si>
  <si>
    <t>Dividends/Distributions</t>
  </si>
  <si>
    <t>Cash-Flow!N26</t>
  </si>
  <si>
    <t>Cash distributions to owners</t>
  </si>
  <si>
    <t>Dividend Budget</t>
  </si>
  <si>
    <t>Cash-Flow!N27</t>
  </si>
  <si>
    <t>Budgeted distributions</t>
  </si>
  <si>
    <t>Cash-Flow!N33</t>
  </si>
  <si>
    <t>Cash balance at start of month</t>
  </si>
  <si>
    <t>Beg Cash Budget</t>
  </si>
  <si>
    <t>Cash-Flow!N34</t>
  </si>
  <si>
    <t>Budgeted beginning cash</t>
  </si>
  <si>
    <t>KPI</t>
  </si>
  <si>
    <t>KPI!N6</t>
  </si>
  <si>
    <t>Month-over-month revenue growth rate</t>
  </si>
  <si>
    <t>KPI!N7</t>
  </si>
  <si>
    <t>Gross profit / Revenue</t>
  </si>
  <si>
    <t>KPI!N8</t>
  </si>
  <si>
    <t>EBITDA / Revenue</t>
  </si>
  <si>
    <t>KPI!N9</t>
  </si>
  <si>
    <t>Net Income / Revenue</t>
  </si>
  <si>
    <t>KPI!N10</t>
  </si>
  <si>
    <t>Revenue divided by FTE count</t>
  </si>
  <si>
    <t>KPI!N13</t>
  </si>
  <si>
    <t>Full-time equivalent employees</t>
  </si>
  <si>
    <t>KPI!N14</t>
  </si>
  <si>
    <t>Employees added during month</t>
  </si>
  <si>
    <t>KPI!N15</t>
  </si>
  <si>
    <t>Employees who resigned</t>
  </si>
  <si>
    <t>KPI!N16</t>
  </si>
  <si>
    <t>Total active customers</t>
  </si>
  <si>
    <t>KPI!N17</t>
  </si>
  <si>
    <t>Customers acquired in month</t>
  </si>
  <si>
    <t>KPI!N18</t>
  </si>
  <si>
    <t>Customers lost in month</t>
  </si>
  <si>
    <t>KPI!N19</t>
  </si>
  <si>
    <t>NRR - expansion vs churn</t>
  </si>
  <si>
    <t>Days Sales Outstanding</t>
  </si>
  <si>
    <t>KPI!N22</t>
  </si>
  <si>
    <t>AR collection period (days)</t>
  </si>
  <si>
    <t>Days Inventory Outstanding</t>
  </si>
  <si>
    <t>KPI!N23</t>
  </si>
  <si>
    <t>Inventory turnover (days)</t>
  </si>
  <si>
    <t>Days Payable Outstanding</t>
  </si>
  <si>
    <t>KPI!N24</t>
  </si>
  <si>
    <t>AP payment period (days)</t>
  </si>
  <si>
    <t>Debt-Ratio</t>
  </si>
  <si>
    <t>Total Enterprise Value</t>
  </si>
  <si>
    <t>Debt-Ratio!N9</t>
  </si>
  <si>
    <t>TEV used for valuation metrics</t>
  </si>
  <si>
    <t>Run-Rate EBITDA</t>
  </si>
  <si>
    <t>Debt-Ratio!N15</t>
  </si>
  <si>
    <t>Annualized/normalized EBITDA</t>
  </si>
  <si>
    <t>Senior Leverage</t>
  </si>
  <si>
    <t>Debt-Ratio!N21</t>
  </si>
  <si>
    <t>Senior debt / EBITDA ratio</t>
  </si>
  <si>
    <t>Debt-Ratio!N22</t>
  </si>
  <si>
    <t>First lien debt / EBITDA</t>
  </si>
  <si>
    <t>Debt-Ratio!N23</t>
  </si>
  <si>
    <t>Secured debt / EBITDA</t>
  </si>
  <si>
    <t>Monthly Principal Amort</t>
  </si>
  <si>
    <t>Debt-Ratio!N27</t>
  </si>
  <si>
    <t>Required principal payments</t>
  </si>
  <si>
    <t>Debt-Ratio!N48</t>
  </si>
  <si>
    <t>Covenant limit on net leverage</t>
  </si>
  <si>
    <t>Debt-Overview</t>
  </si>
  <si>
    <t>Revolver Commitment</t>
  </si>
  <si>
    <t>Debt-Overview!N6</t>
  </si>
  <si>
    <t>Total revolver facility size</t>
  </si>
  <si>
    <t>Revolver Drawn</t>
  </si>
  <si>
    <t>Debt-Overview!N7</t>
  </si>
  <si>
    <t>Amount drawn on revolver</t>
  </si>
  <si>
    <t>Term Loan A Outstanding</t>
  </si>
  <si>
    <t>Debt-Overview!N9</t>
  </si>
  <si>
    <t>TLA balance</t>
  </si>
  <si>
    <t>Term Loan B Outstanding</t>
  </si>
  <si>
    <t>Debt-Overview!N10</t>
  </si>
  <si>
    <t>TLB balance</t>
  </si>
  <si>
    <t>Second Lien Outstanding</t>
  </si>
  <si>
    <t>Debt-Overview!N14</t>
  </si>
  <si>
    <t>Second lien debt balance</t>
  </si>
  <si>
    <t>Mezzanine Outstanding</t>
  </si>
  <si>
    <t>Debt-Overview!N15</t>
  </si>
  <si>
    <t>Mezzanine debt balance</t>
  </si>
  <si>
    <t>Debt-Overview!N19</t>
  </si>
  <si>
    <t>Finance lease liabilities</t>
  </si>
  <si>
    <t>Debt-Overview!N20</t>
  </si>
  <si>
    <t>Deferred acquisition notes</t>
  </si>
  <si>
    <t>Debt-Overview!N21</t>
  </si>
  <si>
    <t>Other debt instruments</t>
  </si>
  <si>
    <t>Debt-Overview!N30</t>
  </si>
  <si>
    <t>Interest rate on revolver</t>
  </si>
  <si>
    <t>Debt-Overview!N31</t>
  </si>
  <si>
    <t>Interest rate on Term Loan A</t>
  </si>
  <si>
    <t>Debt-Overview!N32</t>
  </si>
  <si>
    <t>Interest rate on Term Loan B</t>
  </si>
  <si>
    <t>Classification eval — 2026-02-01-pe-portco-flash-template</t>
  </si>
  <si>
    <t>Every cell you marked (1/2) is coloured by what the system did with it:</t>
  </si>
  <si>
    <t>GREEN</t>
  </si>
  <si>
    <t>agreement — system fills this marked cell</t>
  </si>
  <si>
    <t>RED</t>
  </si>
  <si>
    <t>MISSED — invisible to the system (no fact, no region)</t>
  </si>
  <si>
    <t>ORANGE</t>
  </si>
  <si>
    <t>marked but holds a FORMULA — system never writes formulas</t>
  </si>
  <si>
    <t>BLUE</t>
  </si>
  <si>
    <t>recognized as extensible-region slot (add-line path)</t>
  </si>
  <si>
    <t>PURPLE</t>
  </si>
  <si>
    <t>seen but classified config/staging (control/placeholder)</t>
  </si>
  <si>
    <t>YELLOW</t>
  </si>
  <si>
    <t>NOT marked by you, but the system would fill it</t>
  </si>
  <si>
    <t>Note: YELLOW skips cells whose marking collides with a placeholder value (CLASSIFIED == NORMAL == 1/2) — ground truth is ambiguous there.</t>
  </si>
  <si>
    <t>Marked cells scored: 1248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</si>
</sst>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i/>
      <sz val="11"/>
      <color rgb="FF666666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rgb="FF008000"/>
      <name val="Arial"/>
      <family val="2"/>
    </font>
    <font>
      <sz val="11"/>
      <color rgb="FF006400"/>
      <name val="Arial"/>
      <family val="2"/>
    </font>
    <font>
      <sz val="11"/>
      <color rgb="FF8B0000"/>
      <name val="Arial"/>
      <family val="2"/>
    </font>
    <font>
      <sz val="11"/>
      <color rgb="FF4169E1"/>
      <name val="Arial"/>
      <family val="2"/>
    </font>
    <font>
      <b/>
      <sz val="11"/>
      <color rgb="FF808080"/>
      <name val="Arial"/>
      <family val="2"/>
    </font>
    <font>
      <i/>
      <sz val="10"/>
      <color rgb="FF80808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8F4E8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C9A0DC"/>
        <bgColor indexed="64"/>
      </patternFill>
    </fill>
    <fill>
      <patternFill patternType="solid">
        <fgColor rgb="FFFFF2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1F4E79"/>
      </top>
      <bottom/>
    </border>
    <border>
      <left/>
      <right style="thin">
        <color rgb="FFD3D3D3"/>
      </right>
      <top/>
      <bottom style="medium">
        <color rgb="FF1F4E79"/>
      </bottom>
    </border>
    <border>
      <left/>
      <right style="thin">
        <color rgb="FFD3D3D3"/>
      </right>
      <top/>
      <bottom style="thin">
        <color rgb="FFD3D3D3"/>
      </bottom>
    </border>
    <border>
      <left/>
      <right/>
      <top/>
      <bottom style="thin">
        <color rgb="FFE0E0E0"/>
      </bottom>
    </border>
    <border>
      <left/>
      <right/>
      <top/>
      <bottom style="thin">
        <color rgb="FF1F4E79"/>
      </bottom>
    </border>
    <border>
      <left/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2">
    <xf numFmtId="0" fontId="0" fillId="0" borderId="0" xfId="0">
      <alignment/>
    </xf>
    <xf numFmtId="0" fontId="3" fillId="0" borderId="0" xfId="0" applyFont="1">
      <alignment/>
    </xf>
    <xf numFmtId="0" fontId="4" fillId="0" borderId="0" xfId="0" applyFont="1">
      <alignment/>
    </xf>
    <xf numFmtId="0" fontId="5" fillId="0" borderId="0" xfId="0" applyFont="1">
      <alignment/>
    </xf>
    <xf numFmtId="0" fontId="7" fillId="0" borderId="0" xfId="0" applyFont="1">
      <alignment/>
    </xf>
    <xf numFmtId="3" fontId="8" fillId="0" borderId="0" xfId="0" applyNumberFormat="1" applyFont="1">
      <alignment/>
    </xf>
    <xf numFmtId="0" fontId="9" fillId="0" borderId="0" xfId="0" applyFont="1" applyAlignment="1">
      <alignment horizontal="left" indent="1"/>
    </xf>
    <xf numFmtId="0" fontId="3" fillId="2" borderId="0" xfId="0" applyFont="1" applyFill="1">
      <alignment/>
    </xf>
    <xf numFmtId="0" fontId="10" fillId="0" borderId="0" xfId="0" applyFont="1">
      <alignment/>
    </xf>
    <xf numFmtId="3" fontId="11" fillId="0" borderId="0" xfId="0" applyNumberFormat="1" applyFont="1">
      <alignment/>
    </xf>
    <xf numFmtId="3" fontId="3" fillId="0" borderId="0" xfId="0" applyNumberFormat="1" applyFont="1">
      <alignment/>
    </xf>
    <xf numFmtId="3" fontId="8" fillId="2" borderId="0" xfId="0" applyNumberFormat="1" applyFont="1" applyFill="1">
      <alignment/>
    </xf>
    <xf numFmtId="0" fontId="12" fillId="0" borderId="0" xfId="0" applyFont="1">
      <alignment/>
    </xf>
    <xf numFmtId="0" fontId="1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3" fontId="3" fillId="5" borderId="0" xfId="0" applyNumberFormat="1" applyFont="1" applyFill="1">
      <alignment/>
    </xf>
    <xf numFmtId="0" fontId="10" fillId="0" borderId="1" xfId="0" applyFont="1" applyBorder="1">
      <alignment/>
    </xf>
    <xf numFmtId="3" fontId="11" fillId="0" borderId="1" xfId="0" applyNumberFormat="1" applyFont="1" applyBorder="1">
      <alignment/>
    </xf>
    <xf numFmtId="3" fontId="3" fillId="0" borderId="1" xfId="0" applyNumberFormat="1" applyFont="1" applyBorder="1">
      <alignment/>
    </xf>
    <xf numFmtId="3" fontId="14" fillId="0" borderId="0" xfId="0" applyNumberFormat="1" applyFont="1">
      <alignment/>
    </xf>
    <xf numFmtId="3" fontId="10" fillId="0" borderId="0" xfId="0" applyNumberFormat="1" applyFont="1">
      <alignment/>
    </xf>
    <xf numFmtId="0" fontId="15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6" borderId="0" xfId="0" applyFont="1" applyFill="1" applyBorder="1" applyAlignment="1">
      <alignment horizontal="center" vertical="top"/>
    </xf>
    <xf numFmtId="0" fontId="16" fillId="0" borderId="0" xfId="0" applyFont="1" applyBorder="1" applyAlignment="1">
      <alignment vertical="top"/>
    </xf>
    <xf numFmtId="0" fontId="17" fillId="0" borderId="0" xfId="0" applyFont="1" applyBorder="1" applyAlignment="1">
      <alignment vertical="top"/>
    </xf>
    <xf numFmtId="3" fontId="8" fillId="0" borderId="0" xfId="0" applyNumberFormat="1" applyFont="1" applyBorder="1" applyAlignment="1">
      <alignment vertical="top"/>
    </xf>
    <xf numFmtId="0" fontId="18" fillId="5" borderId="0" xfId="0" applyFont="1" applyFill="1" applyBorder="1" applyAlignment="1">
      <alignment vertical="top"/>
    </xf>
    <xf numFmtId="0" fontId="9" fillId="0" borderId="0" xfId="0" applyFont="1" applyBorder="1" applyAlignment="1">
      <alignment horizontal="left" vertical="top" indent="1"/>
    </xf>
    <xf numFmtId="0" fontId="18" fillId="2" borderId="0" xfId="0" applyFont="1" applyFill="1" applyBorder="1" applyAlignment="1">
      <alignment vertical="top"/>
    </xf>
    <xf numFmtId="3" fontId="11" fillId="0" borderId="0" xfId="0" applyNumberFormat="1" applyFont="1" applyBorder="1" applyAlignment="1">
      <alignment vertical="top"/>
    </xf>
    <xf numFmtId="3" fontId="18" fillId="0" borderId="0" xfId="0" applyNumberFormat="1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6" fillId="6" borderId="2" xfId="0" applyFont="1" applyFill="1" applyBorder="1" applyAlignment="1">
      <alignment horizontal="center" vertical="top"/>
    </xf>
    <xf numFmtId="0" fontId="16" fillId="0" borderId="3" xfId="0" applyFont="1" applyBorder="1" applyAlignment="1">
      <alignment vertical="top"/>
    </xf>
    <xf numFmtId="0" fontId="18" fillId="0" borderId="3" xfId="0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18" fillId="5" borderId="3" xfId="0" applyFont="1" applyFill="1" applyBorder="1" applyAlignment="1">
      <alignment vertical="top"/>
    </xf>
    <xf numFmtId="3" fontId="8" fillId="0" borderId="3" xfId="0" applyNumberFormat="1" applyFont="1" applyBorder="1" applyAlignment="1">
      <alignment vertical="top"/>
    </xf>
    <xf numFmtId="3" fontId="11" fillId="0" borderId="3" xfId="0" applyNumberFormat="1" applyFont="1" applyBorder="1" applyAlignment="1">
      <alignment vertical="top"/>
    </xf>
    <xf numFmtId="3" fontId="19" fillId="0" borderId="3" xfId="0" applyNumberFormat="1" applyFont="1" applyBorder="1" applyAlignment="1">
      <alignment vertical="top"/>
    </xf>
    <xf numFmtId="3" fontId="18" fillId="5" borderId="3" xfId="0" applyNumberFormat="1" applyFont="1" applyFill="1" applyBorder="1" applyAlignment="1">
      <alignment vertical="top"/>
    </xf>
    <xf numFmtId="4" fontId="11" fillId="0" borderId="3" xfId="0" applyNumberFormat="1" applyFont="1" applyBorder="1" applyAlignment="1">
      <alignment vertical="top"/>
    </xf>
    <xf numFmtId="4" fontId="8" fillId="0" borderId="3" xfId="0" applyNumberFormat="1" applyFont="1" applyBorder="1" applyAlignment="1">
      <alignment vertical="top"/>
    </xf>
    <xf numFmtId="3" fontId="18" fillId="0" borderId="3" xfId="0" applyNumberFormat="1" applyFont="1" applyBorder="1" applyAlignment="1">
      <alignment vertical="top"/>
    </xf>
    <xf numFmtId="10" fontId="11" fillId="0" borderId="3" xfId="0" applyNumberFormat="1" applyFont="1" applyBorder="1" applyAlignment="1">
      <alignment vertical="top"/>
    </xf>
    <xf numFmtId="4" fontId="18" fillId="0" borderId="3" xfId="0" applyNumberFormat="1" applyFont="1" applyBorder="1" applyAlignment="1">
      <alignment vertical="top"/>
    </xf>
    <xf numFmtId="0" fontId="16" fillId="0" borderId="3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0" fontId="23" fillId="0" borderId="3" xfId="0" applyFont="1" applyBorder="1" applyAlignment="1">
      <alignment horizontal="center" vertical="top"/>
    </xf>
    <xf numFmtId="0" fontId="24" fillId="0" borderId="0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17" fontId="6" fillId="6" borderId="0" xfId="0" applyNumberFormat="1" applyFont="1" applyFill="1" applyAlignment="1">
      <alignment horizontal="center"/>
    </xf>
    <xf numFmtId="2" fontId="8" fillId="0" borderId="3" xfId="0" applyNumberFormat="1" applyFont="1" applyBorder="1" applyAlignment="1">
      <alignment vertical="top"/>
    </xf>
    <xf numFmtId="0" fontId="8" fillId="0" borderId="3" xfId="0" applyNumberFormat="1" applyFont="1" applyBorder="1" applyAlignment="1">
      <alignment vertical="top"/>
    </xf>
    <xf numFmtId="0" fontId="11" fillId="0" borderId="3" xfId="0" applyNumberFormat="1" applyFont="1" applyBorder="1" applyAlignment="1">
      <alignment vertical="top"/>
    </xf>
    <xf numFmtId="0" fontId="3" fillId="7" borderId="0" xfId="0" applyFont="1" applyFill="1" applyAlignment="1">
      <alignment horizontal="center"/>
    </xf>
    <xf numFmtId="3" fontId="3" fillId="8" borderId="0" xfId="0" applyNumberFormat="1" applyFont="1" applyFill="1">
      <alignment/>
    </xf>
    <xf numFmtId="0" fontId="3" fillId="7" borderId="5" xfId="0" applyFont="1" applyFill="1" applyBorder="1" applyAlignment="1">
      <alignment horizontal="center"/>
    </xf>
    <xf numFmtId="3" fontId="3" fillId="8" borderId="5" xfId="0" applyNumberFormat="1" applyFont="1" applyFill="1" applyBorder="1">
      <alignment/>
    </xf>
    <xf numFmtId="3" fontId="8" fillId="8" borderId="0" xfId="0" applyNumberFormat="1" applyFont="1" applyFill="1">
      <alignment/>
    </xf>
    <xf numFmtId="0" fontId="3" fillId="9" borderId="0" xfId="0" applyFont="1" applyFill="1">
      <alignment/>
    </xf>
    <xf numFmtId="3" fontId="8" fillId="8" borderId="0" xfId="0" applyNumberFormat="1" applyFont="1" applyFill="1" applyBorder="1" applyAlignment="1">
      <alignment vertical="top"/>
    </xf>
    <xf numFmtId="0" fontId="18" fillId="8" borderId="0" xfId="0" applyFont="1" applyFill="1" applyBorder="1" applyAlignment="1">
      <alignment vertical="top"/>
    </xf>
    <xf numFmtId="3" fontId="18" fillId="8" borderId="0" xfId="0" applyNumberFormat="1" applyFont="1" applyFill="1" applyBorder="1" applyAlignment="1">
      <alignment vertical="top"/>
    </xf>
    <xf numFmtId="3" fontId="11" fillId="10" borderId="0" xfId="0" applyNumberFormat="1" applyFont="1" applyFill="1" applyBorder="1" applyAlignment="1">
      <alignment vertical="top"/>
    </xf>
    <xf numFmtId="0" fontId="17" fillId="7" borderId="6" xfId="0" applyFont="1" applyFill="1" applyBorder="1" applyAlignment="1">
      <alignment vertical="top"/>
    </xf>
    <xf numFmtId="2" fontId="8" fillId="8" borderId="7" xfId="0" applyNumberFormat="1" applyFont="1" applyFill="1" applyBorder="1" applyAlignment="1">
      <alignment vertical="top"/>
    </xf>
    <xf numFmtId="3" fontId="8" fillId="8" borderId="7" xfId="0" applyNumberFormat="1" applyFont="1" applyFill="1" applyBorder="1" applyAlignment="1">
      <alignment vertical="top"/>
    </xf>
    <xf numFmtId="3" fontId="8" fillId="10" borderId="7" xfId="0" applyNumberFormat="1" applyFont="1" applyFill="1" applyBorder="1" applyAlignment="1">
      <alignment vertical="top"/>
    </xf>
    <xf numFmtId="3" fontId="8" fillId="7" borderId="7" xfId="0" applyNumberFormat="1" applyFont="1" applyFill="1" applyBorder="1" applyAlignment="1">
      <alignment vertical="top"/>
    </xf>
    <xf numFmtId="3" fontId="19" fillId="10" borderId="7" xfId="0" applyNumberFormat="1" applyFont="1" applyFill="1" applyBorder="1" applyAlignment="1">
      <alignment vertical="top"/>
    </xf>
    <xf numFmtId="4" fontId="11" fillId="10" borderId="7" xfId="0" applyNumberFormat="1" applyFont="1" applyFill="1" applyBorder="1" applyAlignment="1">
      <alignment vertical="top"/>
    </xf>
    <xf numFmtId="4" fontId="8" fillId="8" borderId="7" xfId="0" applyNumberFormat="1" applyFont="1" applyFill="1" applyBorder="1" applyAlignment="1">
      <alignment vertical="top"/>
    </xf>
    <xf numFmtId="3" fontId="18" fillId="8" borderId="7" xfId="0" applyNumberFormat="1" applyFont="1" applyFill="1" applyBorder="1" applyAlignment="1">
      <alignment vertical="top"/>
    </xf>
    <xf numFmtId="3" fontId="18" fillId="10" borderId="7" xfId="0" applyNumberFormat="1" applyFont="1" applyFill="1" applyBorder="1" applyAlignment="1">
      <alignment vertical="top"/>
    </xf>
    <xf numFmtId="3" fontId="11" fillId="10" borderId="7" xfId="0" applyNumberFormat="1" applyFont="1" applyFill="1" applyBorder="1" applyAlignment="1">
      <alignment vertical="top"/>
    </xf>
    <xf numFmtId="4" fontId="18" fillId="8" borderId="7" xfId="0" applyNumberFormat="1" applyFont="1" applyFill="1" applyBorder="1" applyAlignment="1">
      <alignment vertical="top"/>
    </xf>
    <xf numFmtId="0" fontId="18" fillId="8" borderId="7" xfId="0" applyFont="1" applyFill="1" applyBorder="1" applyAlignment="1">
      <alignment vertical="top"/>
    </xf>
    <xf numFmtId="3" fontId="11" fillId="9" borderId="7" xfId="0" applyNumberFormat="1" applyFont="1" applyFill="1" applyBorder="1" applyAlignment="1">
      <alignment vertical="top"/>
    </xf>
    <xf numFmtId="0" fontId="8" fillId="8" borderId="7" xfId="0" applyNumberFormat="1" applyFont="1" applyFill="1" applyBorder="1" applyAlignment="1">
      <alignment vertical="top"/>
    </xf>
    <xf numFmtId="0" fontId="11" fillId="10" borderId="7" xfId="0" applyNumberFormat="1" applyFont="1" applyFill="1" applyBorder="1" applyAlignment="1">
      <alignment vertical="top"/>
    </xf>
    <xf numFmtId="0" fontId="11" fillId="9" borderId="7" xfId="0" applyNumberFormat="1" applyFont="1" applyFill="1" applyBorder="1" applyAlignment="1">
      <alignment vertical="top"/>
    </xf>
    <xf numFmtId="0" fontId="0" fillId="8" borderId="0" xfId="0" applyFill="1">
      <alignment/>
    </xf>
    <xf numFmtId="0" fontId="0" fillId="9" borderId="0" xfId="0" applyFill="1">
      <alignment/>
    </xf>
    <xf numFmtId="0" fontId="0" fillId="10" borderId="0" xfId="0" applyFill="1">
      <alignment/>
    </xf>
    <xf numFmtId="0" fontId="0" fillId="7" borderId="0" xfId="0" applyFill="1">
      <alignment/>
    </xf>
    <xf numFmtId="0" fontId="0" fillId="11" borderId="0" xfId="0" applyFill="1">
      <alignment/>
    </xf>
    <xf numFmtId="0" fontId="0" fillId="12" borderId="0" xfId="0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4" Type="http://schemas.openxmlformats.org/officeDocument/2006/relationships/calcChain" Target="calcChain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12" Type="http://schemas.openxmlformats.org/officeDocument/2006/relationships/sharedStrings" Target="sharedStrings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13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1" Type="http://schemas.openxmlformats.org/officeDocument/2006/relationships/comments" Target="../comments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A9A852-CA66-4A0D-A8F4-F46B3EE8BAA5}">
  <dimension ref="B1:E12"/>
  <sheetViews>
    <sheetView workbookViewId="0" topLeftCell="A1"/>
  </sheetViews>
  <sheetFormatPr defaultRowHeight="15.75"/>
  <cols>
    <col min="2" max="2" width="14.625" customWidth="1"/>
    <col min="3" max="3" width="70.625" customWidth="1"/>
    <col min="5" max="5" width="8.625" customWidth="1"/>
  </cols>
  <sheetData>
    <row r="1" spans="2:2" ht="15.75">
      <c r="B1" t="s">
        <v>465</v>
      </c>
    </row>
    <row r="2" spans="2:2" ht="15.75">
      <c r="B2" t="s">
        <v>466</v>
      </c>
    </row>
    <row r="4" spans="2:5" ht="15.75">
      <c r="B4" s="86" t="s">
        <v>467</v>
      </c>
      <c r="C4" t="s">
        <v>468</v>
      </c>
      <c r="E4">
        <v>1008</v>
      </c>
    </row>
    <row r="5" spans="2:5" ht="15.75">
      <c r="B5" s="87" t="s">
        <v>469</v>
      </c>
      <c r="C5" t="s">
        <v>470</v>
      </c>
      <c r="E5">
        <v>50</v>
      </c>
    </row>
    <row r="6" spans="2:5" ht="15.75">
      <c r="B6" s="88" t="s">
        <v>471</v>
      </c>
      <c r="C6" t="s">
        <v>472</v>
      </c>
      <c r="E6">
        <v>165</v>
      </c>
    </row>
    <row r="7" spans="2:5" ht="15.75">
      <c r="B7" s="89" t="s">
        <v>473</v>
      </c>
      <c r="C7" t="s">
        <v>474</v>
      </c>
      <c r="E7">
        <v>25</v>
      </c>
    </row>
    <row r="8" spans="2:5" ht="15.75">
      <c r="B8" s="90" t="s">
        <v>475</v>
      </c>
      <c r="C8" t="s">
        <v>476</v>
      </c>
      <c r="E8">
        <v>0</v>
      </c>
    </row>
    <row r="9" spans="2:5" ht="15.75">
      <c r="B9" s="91" t="s">
        <v>477</v>
      </c>
      <c r="C9" t="s">
        <v>478</v>
      </c>
      <c r="E9">
        <v>0</v>
      </c>
    </row>
    <row r="11" spans="2:2" ht="15.75">
      <c r="B11" t="s">
        <v>479</v>
      </c>
    </row>
    <row r="12" spans="2:2" ht="15.75">
      <c r="B12" t="s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CD5BCB-4962-ED83-08A8-B900875795D8}">
  <dimension ref="B2:O47"/>
  <sheetViews>
    <sheetView showGridLines="0" tabSelected="1" zoomScale="90" zoomScaleNormal="90" workbookViewId="0" topLeftCell="A1">
      <selection pane="topLeft" activeCell="C40" sqref="C40:N41"/>
    </sheetView>
  </sheetViews>
  <sheetFormatPr defaultColWidth="9.005" defaultRowHeight="16" customHeight="1"/>
  <cols>
    <col min="1" max="1" width="9" style="1"/>
    <col min="2" max="2" width="25" style="1" customWidth="1"/>
    <col min="3" max="14" width="9.375" style="1" customWidth="1"/>
    <col min="15" max="15" width="10.625" style="1" customWidth="1"/>
    <col min="16" max="16" width="10" style="1" customWidth="1"/>
    <col min="17" max="17" width="8.75" style="1" customWidth="1"/>
    <col min="18" max="16384" width="9" style="1"/>
  </cols>
  <sheetData>
    <row r="1" ht="16.5" customHeight="1"/>
    <row r="2" spans="2:2" ht="18.75" customHeight="1">
      <c r="B2" s="2" t="s">
        <v>0</v>
      </c>
    </row>
    <row r="3" spans="2:2" ht="15" customHeight="1">
      <c r="B3" s="3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6.5" customHeight="1">
      <c r="B5" s="4" t="s">
        <v>2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</row>
    <row r="6" spans="2:14" ht="15" customHeight="1">
      <c r="B6" s="6" t="s">
        <v>3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</row>
    <row r="7" spans="2:14" ht="16.5" customHeight="1">
      <c r="B7" s="4" t="s">
        <v>4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</row>
    <row r="8" spans="2:14" ht="15" customHeight="1">
      <c r="B8" s="6" t="s">
        <v>3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</row>
    <row r="9" spans="2:14" ht="16.5" customHeight="1">
      <c r="B9" s="8" t="s">
        <v>5</v>
      </c>
      <c r="C9" s="9">
        <f t="shared" si="0" ref="C9:N47">C5-C7</f>
        <v>0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</row>
    <row r="10" spans="2:14" ht="15" customHeight="1">
      <c r="B10" s="6" t="s">
        <v>3</v>
      </c>
      <c r="C10" s="9">
        <f>C6-C8</f>
        <v>0</v>
      </c>
      <c r="D10" s="9">
        <f t="shared" si="0"/>
        <v>0</v>
      </c>
      <c r="E10" s="9">
        <f t="shared" si="0"/>
        <v>0</v>
      </c>
      <c r="F10" s="9">
        <f t="shared" si="0"/>
        <v>0</v>
      </c>
      <c r="G10" s="9">
        <f t="shared" si="0"/>
        <v>0</v>
      </c>
      <c r="H10" s="9">
        <f t="shared" si="0"/>
        <v>0</v>
      </c>
      <c r="I10" s="9">
        <f t="shared" si="0"/>
        <v>0</v>
      </c>
      <c r="J10" s="9">
        <f t="shared" si="0"/>
        <v>0</v>
      </c>
      <c r="K10" s="9">
        <f t="shared" si="0"/>
        <v>0</v>
      </c>
      <c r="L10" s="9">
        <f t="shared" si="0"/>
        <v>0</v>
      </c>
      <c r="M10" s="9">
        <f t="shared" si="0"/>
        <v>0</v>
      </c>
      <c r="N10" s="9">
        <f t="shared" si="0"/>
        <v>0</v>
      </c>
    </row>
    <row r="11" spans="2:2" ht="16.5" customHeight="1">
      <c r="B11" s="4"/>
    </row>
    <row r="12" spans="2:14" ht="16.5" customHeight="1">
      <c r="B12" s="4" t="s">
        <v>6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</row>
    <row r="13" spans="2:14" ht="16.5" customHeight="1">
      <c r="B13" s="6" t="s">
        <v>3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1</v>
      </c>
    </row>
    <row r="14" spans="2:2" ht="16.5" customHeight="1">
      <c r="B14" s="4"/>
    </row>
    <row r="15" spans="2:14" ht="16.5" customHeight="1">
      <c r="B15" s="8" t="s">
        <v>7</v>
      </c>
      <c r="C15" s="9">
        <f t="shared" si="1" ref="C15:N16">C9-C12</f>
        <v>-1</v>
      </c>
      <c r="D15" s="9">
        <f t="shared" si="1"/>
        <v>-1</v>
      </c>
      <c r="E15" s="9">
        <f t="shared" si="1"/>
        <v>-1</v>
      </c>
      <c r="F15" s="9">
        <f t="shared" si="1"/>
        <v>-1</v>
      </c>
      <c r="G15" s="9">
        <f t="shared" si="1"/>
        <v>-1</v>
      </c>
      <c r="H15" s="9">
        <f t="shared" si="1"/>
        <v>-1</v>
      </c>
      <c r="I15" s="9">
        <f t="shared" si="1"/>
        <v>-1</v>
      </c>
      <c r="J15" s="9">
        <f t="shared" si="1"/>
        <v>-1</v>
      </c>
      <c r="K15" s="9">
        <f t="shared" si="1"/>
        <v>-1</v>
      </c>
      <c r="L15" s="9">
        <f t="shared" si="1"/>
        <v>-1</v>
      </c>
      <c r="M15" s="9">
        <f t="shared" si="1"/>
        <v>-1</v>
      </c>
      <c r="N15" s="9">
        <f t="shared" si="1"/>
        <v>-1</v>
      </c>
    </row>
    <row r="16" spans="2:14" ht="16.5" customHeight="1">
      <c r="B16" s="6" t="s">
        <v>3</v>
      </c>
      <c r="C16" s="9">
        <f>C10-C13</f>
        <v>-1</v>
      </c>
      <c r="D16" s="9">
        <f t="shared" si="1"/>
        <v>-1</v>
      </c>
      <c r="E16" s="9">
        <f t="shared" si="1"/>
        <v>-1</v>
      </c>
      <c r="F16" s="9">
        <f t="shared" si="1"/>
        <v>-1</v>
      </c>
      <c r="G16" s="9">
        <f t="shared" si="1"/>
        <v>-1</v>
      </c>
      <c r="H16" s="9">
        <f t="shared" si="1"/>
        <v>-1</v>
      </c>
      <c r="I16" s="9">
        <f t="shared" si="1"/>
        <v>-1</v>
      </c>
      <c r="J16" s="9">
        <f t="shared" si="1"/>
        <v>-1</v>
      </c>
      <c r="K16" s="9">
        <f t="shared" si="1"/>
        <v>-1</v>
      </c>
      <c r="L16" s="9">
        <f t="shared" si="1"/>
        <v>-1</v>
      </c>
      <c r="M16" s="9">
        <f t="shared" si="1"/>
        <v>-1</v>
      </c>
      <c r="N16" s="9">
        <f t="shared" si="1"/>
        <v>-1</v>
      </c>
    </row>
    <row r="17" ht="16.5" customHeight="1"/>
    <row r="18" spans="2:2" ht="15" customHeight="1">
      <c r="B18" s="12" t="s">
        <v>8</v>
      </c>
    </row>
    <row r="19" spans="2:15" ht="14.25" customHeight="1">
      <c r="B19" s="13" t="s">
        <v>9</v>
      </c>
      <c r="C19" s="55">
        <v>45658</v>
      </c>
      <c r="D19" s="55">
        <v>45689</v>
      </c>
      <c r="E19" s="55">
        <v>45717</v>
      </c>
      <c r="F19" s="55">
        <v>45748</v>
      </c>
      <c r="G19" s="55">
        <v>45778</v>
      </c>
      <c r="H19" s="55">
        <v>45809</v>
      </c>
      <c r="I19" s="55">
        <v>45839</v>
      </c>
      <c r="J19" s="55">
        <v>45870</v>
      </c>
      <c r="K19" s="55">
        <v>45901</v>
      </c>
      <c r="L19" s="55">
        <v>45931</v>
      </c>
      <c r="M19" s="55">
        <v>45962</v>
      </c>
      <c r="N19" s="55">
        <v>45992</v>
      </c>
      <c r="O19" s="13" t="s">
        <v>11</v>
      </c>
    </row>
    <row r="20" spans="2:15" ht="16.5" customHeight="1">
      <c r="B20" s="59">
        <v>2</v>
      </c>
      <c r="C20" s="60">
        <v>1</v>
      </c>
      <c r="D20" s="60">
        <v>1</v>
      </c>
      <c r="E20" s="60">
        <v>1</v>
      </c>
      <c r="F20" s="60">
        <v>1</v>
      </c>
      <c r="G20" s="60">
        <v>1</v>
      </c>
      <c r="H20" s="60">
        <v>1</v>
      </c>
      <c r="I20" s="60">
        <v>1</v>
      </c>
      <c r="J20" s="60">
        <v>1</v>
      </c>
      <c r="K20" s="60">
        <v>1</v>
      </c>
      <c r="L20" s="60">
        <v>1</v>
      </c>
      <c r="M20" s="60">
        <v>1</v>
      </c>
      <c r="N20" s="60">
        <v>1</v>
      </c>
      <c r="O20" s="10">
        <f t="shared" si="2" ref="O20:O27">SUM(C20:N20)</f>
        <v>12</v>
      </c>
    </row>
    <row r="21" spans="2:15" ht="16.5" customHeight="1">
      <c r="B21" s="59">
        <v>2</v>
      </c>
      <c r="C21" s="60">
        <v>1</v>
      </c>
      <c r="D21" s="60">
        <v>1</v>
      </c>
      <c r="E21" s="60">
        <v>1</v>
      </c>
      <c r="F21" s="60">
        <v>1</v>
      </c>
      <c r="G21" s="60">
        <v>1</v>
      </c>
      <c r="H21" s="60">
        <v>1</v>
      </c>
      <c r="I21" s="60">
        <v>1</v>
      </c>
      <c r="J21" s="60">
        <v>1</v>
      </c>
      <c r="K21" s="60">
        <v>1</v>
      </c>
      <c r="L21" s="60">
        <v>1</v>
      </c>
      <c r="M21" s="60">
        <v>1</v>
      </c>
      <c r="N21" s="60">
        <v>1</v>
      </c>
      <c r="O21" s="10">
        <f t="shared" si="2"/>
        <v>12</v>
      </c>
    </row>
    <row r="22" spans="2:15" ht="16.5" customHeight="1">
      <c r="B22" s="59">
        <v>2</v>
      </c>
      <c r="C22" s="60">
        <v>1</v>
      </c>
      <c r="D22" s="60">
        <v>1</v>
      </c>
      <c r="E22" s="60">
        <v>1</v>
      </c>
      <c r="F22" s="60">
        <v>1</v>
      </c>
      <c r="G22" s="60">
        <v>1</v>
      </c>
      <c r="H22" s="60">
        <v>1</v>
      </c>
      <c r="I22" s="60">
        <v>1</v>
      </c>
      <c r="J22" s="60">
        <v>1</v>
      </c>
      <c r="K22" s="60">
        <v>1</v>
      </c>
      <c r="L22" s="60">
        <v>1</v>
      </c>
      <c r="M22" s="60">
        <v>1</v>
      </c>
      <c r="N22" s="60">
        <v>1</v>
      </c>
      <c r="O22" s="10">
        <f t="shared" si="2"/>
        <v>12</v>
      </c>
    </row>
    <row r="23" spans="2:15" ht="16.5" customHeight="1">
      <c r="B23" s="59">
        <v>2</v>
      </c>
      <c r="C23" s="60">
        <v>1</v>
      </c>
      <c r="D23" s="60">
        <v>1</v>
      </c>
      <c r="E23" s="60">
        <v>1</v>
      </c>
      <c r="F23" s="60">
        <v>1</v>
      </c>
      <c r="G23" s="60">
        <v>1</v>
      </c>
      <c r="H23" s="60">
        <v>1</v>
      </c>
      <c r="I23" s="60">
        <v>1</v>
      </c>
      <c r="J23" s="60">
        <v>1</v>
      </c>
      <c r="K23" s="60">
        <v>1</v>
      </c>
      <c r="L23" s="60">
        <v>1</v>
      </c>
      <c r="M23" s="60">
        <v>1</v>
      </c>
      <c r="N23" s="60">
        <v>1</v>
      </c>
      <c r="O23" s="10">
        <f t="shared" si="2"/>
        <v>12</v>
      </c>
    </row>
    <row r="24" spans="2:15" ht="16.5" customHeight="1">
      <c r="B24" s="59">
        <v>2</v>
      </c>
      <c r="C24" s="60">
        <v>1</v>
      </c>
      <c r="D24" s="60">
        <v>1</v>
      </c>
      <c r="E24" s="60">
        <v>1</v>
      </c>
      <c r="F24" s="60">
        <v>1</v>
      </c>
      <c r="G24" s="60">
        <v>1</v>
      </c>
      <c r="H24" s="60">
        <v>1</v>
      </c>
      <c r="I24" s="60">
        <v>1</v>
      </c>
      <c r="J24" s="60">
        <v>1</v>
      </c>
      <c r="K24" s="60">
        <v>1</v>
      </c>
      <c r="L24" s="60">
        <v>1</v>
      </c>
      <c r="M24" s="60">
        <v>1</v>
      </c>
      <c r="N24" s="60">
        <v>1</v>
      </c>
      <c r="O24" s="10">
        <f t="shared" si="2"/>
        <v>12</v>
      </c>
    </row>
    <row r="25" spans="2:15" ht="16.5" customHeight="1">
      <c r="B25" s="59">
        <v>2</v>
      </c>
      <c r="C25" s="60">
        <v>1</v>
      </c>
      <c r="D25" s="60">
        <v>1</v>
      </c>
      <c r="E25" s="60">
        <v>1</v>
      </c>
      <c r="F25" s="60">
        <v>1</v>
      </c>
      <c r="G25" s="60">
        <v>1</v>
      </c>
      <c r="H25" s="60">
        <v>1</v>
      </c>
      <c r="I25" s="60">
        <v>1</v>
      </c>
      <c r="J25" s="60">
        <v>1</v>
      </c>
      <c r="K25" s="60">
        <v>1</v>
      </c>
      <c r="L25" s="60">
        <v>1</v>
      </c>
      <c r="M25" s="60">
        <v>1</v>
      </c>
      <c r="N25" s="60">
        <v>1</v>
      </c>
      <c r="O25" s="10">
        <f t="shared" si="2"/>
        <v>12</v>
      </c>
    </row>
    <row r="26" spans="2:15" ht="16.5" customHeight="1">
      <c r="B26" s="59">
        <v>2</v>
      </c>
      <c r="C26" s="60">
        <v>1</v>
      </c>
      <c r="D26" s="60">
        <v>1</v>
      </c>
      <c r="E26" s="60">
        <v>1</v>
      </c>
      <c r="F26" s="60">
        <v>1</v>
      </c>
      <c r="G26" s="60">
        <v>1</v>
      </c>
      <c r="H26" s="60">
        <v>1</v>
      </c>
      <c r="I26" s="60">
        <v>1</v>
      </c>
      <c r="J26" s="60">
        <v>1</v>
      </c>
      <c r="K26" s="60">
        <v>1</v>
      </c>
      <c r="L26" s="60">
        <v>1</v>
      </c>
      <c r="M26" s="60">
        <v>1</v>
      </c>
      <c r="N26" s="60">
        <v>1</v>
      </c>
      <c r="O26" s="10">
        <f t="shared" si="2"/>
        <v>12</v>
      </c>
    </row>
    <row r="27" spans="2:15" ht="16.5" customHeight="1">
      <c r="B27" s="61">
        <v>2</v>
      </c>
      <c r="C27" s="62">
        <v>1</v>
      </c>
      <c r="D27" s="62">
        <v>1</v>
      </c>
      <c r="E27" s="62">
        <v>1</v>
      </c>
      <c r="F27" s="62">
        <v>1</v>
      </c>
      <c r="G27" s="62">
        <v>1</v>
      </c>
      <c r="H27" s="62">
        <v>1</v>
      </c>
      <c r="I27" s="62">
        <v>1</v>
      </c>
      <c r="J27" s="62">
        <v>1</v>
      </c>
      <c r="K27" s="62">
        <v>1</v>
      </c>
      <c r="L27" s="62">
        <v>1</v>
      </c>
      <c r="M27" s="62">
        <v>1</v>
      </c>
      <c r="N27" s="62">
        <v>1</v>
      </c>
      <c r="O27" s="10">
        <f t="shared" si="2"/>
        <v>12</v>
      </c>
    </row>
    <row r="28" spans="2:15" ht="16.5" customHeight="1">
      <c r="B28" s="16" t="s">
        <v>17</v>
      </c>
      <c r="C28" s="17">
        <f t="shared" si="3" ref="C28:O28">SUM(C20:C27)</f>
        <v>8</v>
      </c>
      <c r="D28" s="17">
        <f t="shared" si="3"/>
        <v>8</v>
      </c>
      <c r="E28" s="17">
        <f t="shared" si="3"/>
        <v>8</v>
      </c>
      <c r="F28" s="17">
        <f t="shared" si="3"/>
        <v>8</v>
      </c>
      <c r="G28" s="17">
        <f t="shared" si="3"/>
        <v>8</v>
      </c>
      <c r="H28" s="17">
        <f t="shared" si="3"/>
        <v>8</v>
      </c>
      <c r="I28" s="17">
        <f t="shared" si="3"/>
        <v>8</v>
      </c>
      <c r="J28" s="17">
        <f t="shared" si="3"/>
        <v>8</v>
      </c>
      <c r="K28" s="17">
        <f t="shared" si="3"/>
        <v>8</v>
      </c>
      <c r="L28" s="17">
        <f t="shared" si="3"/>
        <v>8</v>
      </c>
      <c r="M28" s="17">
        <f t="shared" si="3"/>
        <v>8</v>
      </c>
      <c r="N28" s="18">
        <f t="shared" si="3"/>
        <v>8</v>
      </c>
      <c r="O28" s="18">
        <f t="shared" si="3"/>
        <v>96</v>
      </c>
    </row>
    <row r="29" spans="2:15" ht="15" customHeight="1">
      <c r="B29" s="8" t="s">
        <v>18</v>
      </c>
      <c r="C29" s="19">
        <f t="shared" si="4" ref="C29:N29">C15+C28</f>
        <v>7</v>
      </c>
      <c r="D29" s="19">
        <f t="shared" si="4"/>
        <v>7</v>
      </c>
      <c r="E29" s="19">
        <f t="shared" si="4"/>
        <v>7</v>
      </c>
      <c r="F29" s="19">
        <f t="shared" si="4"/>
        <v>7</v>
      </c>
      <c r="G29" s="19">
        <f t="shared" si="4"/>
        <v>7</v>
      </c>
      <c r="H29" s="19">
        <f t="shared" si="4"/>
        <v>7</v>
      </c>
      <c r="I29" s="19">
        <f t="shared" si="4"/>
        <v>7</v>
      </c>
      <c r="J29" s="19">
        <f t="shared" si="4"/>
        <v>7</v>
      </c>
      <c r="K29" s="19">
        <f t="shared" si="4"/>
        <v>7</v>
      </c>
      <c r="L29" s="19">
        <f t="shared" si="4"/>
        <v>7</v>
      </c>
      <c r="M29" s="19">
        <f t="shared" si="4"/>
        <v>7</v>
      </c>
      <c r="N29" s="20">
        <f t="shared" si="4"/>
        <v>7</v>
      </c>
      <c r="O29" s="20">
        <f>SUM(C29:N29)</f>
        <v>84</v>
      </c>
    </row>
    <row r="30" ht="16.5" customHeight="1"/>
    <row r="31" spans="2:14" ht="16.5" customHeight="1">
      <c r="B31" s="4" t="s">
        <v>19</v>
      </c>
      <c r="C31" s="63">
        <v>1</v>
      </c>
      <c r="D31" s="63">
        <v>1</v>
      </c>
      <c r="E31" s="63">
        <v>1</v>
      </c>
      <c r="F31" s="63">
        <v>1</v>
      </c>
      <c r="G31" s="63">
        <v>1</v>
      </c>
      <c r="H31" s="63">
        <v>1</v>
      </c>
      <c r="I31" s="63">
        <v>1</v>
      </c>
      <c r="J31" s="63">
        <v>1</v>
      </c>
      <c r="K31" s="63">
        <v>1</v>
      </c>
      <c r="L31" s="63">
        <v>1</v>
      </c>
      <c r="M31" s="63">
        <v>1</v>
      </c>
      <c r="N31" s="63">
        <v>1</v>
      </c>
    </row>
    <row r="32" spans="2:14" ht="15" customHeight="1">
      <c r="B32" s="6" t="s">
        <v>3</v>
      </c>
      <c r="C32" s="64">
        <v>1</v>
      </c>
      <c r="D32" s="64">
        <v>1</v>
      </c>
      <c r="E32" s="64">
        <v>1</v>
      </c>
      <c r="F32" s="64">
        <v>1</v>
      </c>
      <c r="G32" s="64">
        <v>1</v>
      </c>
      <c r="H32" s="64">
        <v>1</v>
      </c>
      <c r="I32" s="64">
        <v>1</v>
      </c>
      <c r="J32" s="64">
        <v>1</v>
      </c>
      <c r="K32" s="64">
        <v>1</v>
      </c>
      <c r="L32" s="64">
        <v>1</v>
      </c>
      <c r="M32" s="64">
        <v>1</v>
      </c>
      <c r="N32" s="64">
        <v>1</v>
      </c>
    </row>
    <row r="33" spans="2:14" ht="16.5" customHeight="1">
      <c r="B33" s="4" t="s">
        <v>20</v>
      </c>
      <c r="C33" s="63">
        <v>1</v>
      </c>
      <c r="D33" s="63">
        <v>1</v>
      </c>
      <c r="E33" s="63">
        <v>1</v>
      </c>
      <c r="F33" s="63">
        <v>1</v>
      </c>
      <c r="G33" s="63">
        <v>1</v>
      </c>
      <c r="H33" s="63">
        <v>1</v>
      </c>
      <c r="I33" s="63">
        <v>1</v>
      </c>
      <c r="J33" s="63">
        <v>1</v>
      </c>
      <c r="K33" s="63">
        <v>1</v>
      </c>
      <c r="L33" s="63">
        <v>1</v>
      </c>
      <c r="M33" s="63">
        <v>1</v>
      </c>
      <c r="N33" s="63">
        <v>1</v>
      </c>
    </row>
    <row r="34" spans="2:14" ht="15" customHeight="1">
      <c r="B34" s="6" t="s">
        <v>3</v>
      </c>
      <c r="C34" s="64">
        <v>1</v>
      </c>
      <c r="D34" s="64">
        <v>1</v>
      </c>
      <c r="E34" s="64">
        <v>1</v>
      </c>
      <c r="F34" s="64">
        <v>1</v>
      </c>
      <c r="G34" s="64">
        <v>1</v>
      </c>
      <c r="H34" s="64">
        <v>1</v>
      </c>
      <c r="I34" s="64">
        <v>1</v>
      </c>
      <c r="J34" s="64">
        <v>1</v>
      </c>
      <c r="K34" s="64">
        <v>1</v>
      </c>
      <c r="L34" s="64">
        <v>1</v>
      </c>
      <c r="M34" s="64">
        <v>1</v>
      </c>
      <c r="N34" s="64">
        <v>1</v>
      </c>
    </row>
    <row r="35" spans="2:14" ht="16.5" customHeight="1">
      <c r="B35" s="8" t="s">
        <v>21</v>
      </c>
      <c r="C35" s="9">
        <f t="shared" si="5" ref="C35:N36">C15-C31-C33</f>
        <v>-3</v>
      </c>
      <c r="D35" s="9">
        <f t="shared" si="6" ref="D35:M35">C29-D31-D33</f>
        <v>5</v>
      </c>
      <c r="E35" s="9">
        <f t="shared" si="6"/>
        <v>5</v>
      </c>
      <c r="F35" s="9">
        <f t="shared" si="6"/>
        <v>5</v>
      </c>
      <c r="G35" s="9">
        <f t="shared" si="6"/>
        <v>5</v>
      </c>
      <c r="H35" s="9">
        <f t="shared" si="6"/>
        <v>5</v>
      </c>
      <c r="I35" s="9">
        <f t="shared" si="6"/>
        <v>5</v>
      </c>
      <c r="J35" s="9">
        <f t="shared" si="6"/>
        <v>5</v>
      </c>
      <c r="K35" s="9">
        <f t="shared" si="6"/>
        <v>5</v>
      </c>
      <c r="L35" s="9">
        <f t="shared" si="6"/>
        <v>5</v>
      </c>
      <c r="M35" s="9">
        <f t="shared" si="6"/>
        <v>5</v>
      </c>
      <c r="N35" s="9">
        <f>N29-N31-N33</f>
        <v>5</v>
      </c>
    </row>
    <row r="36" spans="2:14" ht="16.5" customHeight="1">
      <c r="B36" s="6" t="s">
        <v>3</v>
      </c>
      <c r="C36" s="9">
        <f t="shared" si="5"/>
        <v>-3</v>
      </c>
      <c r="D36" s="9">
        <f t="shared" si="5"/>
        <v>-3</v>
      </c>
      <c r="E36" s="9">
        <f t="shared" si="5"/>
        <v>-3</v>
      </c>
      <c r="F36" s="9">
        <f t="shared" si="5"/>
        <v>-3</v>
      </c>
      <c r="G36" s="9">
        <f t="shared" si="5"/>
        <v>-3</v>
      </c>
      <c r="H36" s="9">
        <f t="shared" si="5"/>
        <v>-3</v>
      </c>
      <c r="I36" s="9">
        <f t="shared" si="5"/>
        <v>-3</v>
      </c>
      <c r="J36" s="9">
        <f t="shared" si="5"/>
        <v>-3</v>
      </c>
      <c r="K36" s="9">
        <f t="shared" si="5"/>
        <v>-3</v>
      </c>
      <c r="L36" s="9">
        <f t="shared" si="5"/>
        <v>-3</v>
      </c>
      <c r="M36" s="9">
        <f t="shared" si="5"/>
        <v>-3</v>
      </c>
      <c r="N36" s="9">
        <f t="shared" si="5"/>
        <v>-3</v>
      </c>
    </row>
    <row r="37" ht="16.5" customHeight="1"/>
    <row r="38" spans="2:14" ht="16.5" customHeight="1">
      <c r="B38" s="4" t="s">
        <v>22</v>
      </c>
      <c r="C38" s="63">
        <v>1</v>
      </c>
      <c r="D38" s="63">
        <v>1</v>
      </c>
      <c r="E38" s="63">
        <v>1</v>
      </c>
      <c r="F38" s="63">
        <v>1</v>
      </c>
      <c r="G38" s="63">
        <v>1</v>
      </c>
      <c r="H38" s="63">
        <v>1</v>
      </c>
      <c r="I38" s="63">
        <v>1</v>
      </c>
      <c r="J38" s="63">
        <v>1</v>
      </c>
      <c r="K38" s="63">
        <v>1</v>
      </c>
      <c r="L38" s="63">
        <v>1</v>
      </c>
      <c r="M38" s="63">
        <v>1</v>
      </c>
      <c r="N38" s="63">
        <v>1</v>
      </c>
    </row>
    <row r="39" spans="2:14" ht="15" customHeight="1">
      <c r="B39" s="6" t="s">
        <v>3</v>
      </c>
      <c r="C39" s="64">
        <v>1</v>
      </c>
      <c r="D39" s="64">
        <v>1</v>
      </c>
      <c r="E39" s="64">
        <v>1</v>
      </c>
      <c r="F39" s="64">
        <v>1</v>
      </c>
      <c r="G39" s="64">
        <v>1</v>
      </c>
      <c r="H39" s="64">
        <v>1</v>
      </c>
      <c r="I39" s="64">
        <v>1</v>
      </c>
      <c r="J39" s="64">
        <v>1</v>
      </c>
      <c r="K39" s="64">
        <v>1</v>
      </c>
      <c r="L39" s="64">
        <v>1</v>
      </c>
      <c r="M39" s="64">
        <v>1</v>
      </c>
      <c r="N39" s="64">
        <v>1</v>
      </c>
    </row>
    <row r="40" spans="2:14" ht="16.5" customHeight="1">
      <c r="B40" s="4" t="s">
        <v>23</v>
      </c>
      <c r="C40" s="63">
        <v>1</v>
      </c>
      <c r="D40" s="63">
        <v>1</v>
      </c>
      <c r="E40" s="63">
        <v>1</v>
      </c>
      <c r="F40" s="63">
        <v>1</v>
      </c>
      <c r="G40" s="63">
        <v>1</v>
      </c>
      <c r="H40" s="63">
        <v>1</v>
      </c>
      <c r="I40" s="63">
        <v>1</v>
      </c>
      <c r="J40" s="63">
        <v>1</v>
      </c>
      <c r="K40" s="63">
        <v>1</v>
      </c>
      <c r="L40" s="63">
        <v>1</v>
      </c>
      <c r="M40" s="63">
        <v>1</v>
      </c>
      <c r="N40" s="63">
        <v>1</v>
      </c>
    </row>
    <row r="41" spans="2:14" ht="15" customHeight="1">
      <c r="B41" s="6" t="s">
        <v>3</v>
      </c>
      <c r="C41" s="64">
        <v>1</v>
      </c>
      <c r="D41" s="64">
        <v>1</v>
      </c>
      <c r="E41" s="64">
        <v>1</v>
      </c>
      <c r="F41" s="64">
        <v>1</v>
      </c>
      <c r="G41" s="64">
        <v>1</v>
      </c>
      <c r="H41" s="64">
        <v>1</v>
      </c>
      <c r="I41" s="64">
        <v>1</v>
      </c>
      <c r="J41" s="64">
        <v>1</v>
      </c>
      <c r="K41" s="64">
        <v>1</v>
      </c>
      <c r="L41" s="64">
        <v>1</v>
      </c>
      <c r="M41" s="64">
        <v>1</v>
      </c>
      <c r="N41" s="64">
        <v>1</v>
      </c>
    </row>
    <row r="42" spans="2:14" ht="16.5" customHeight="1">
      <c r="B42" s="8" t="s">
        <v>24</v>
      </c>
      <c r="C42" s="9">
        <f t="shared" si="7" ref="C42:N43">C35-C38+C40</f>
        <v>-3</v>
      </c>
      <c r="D42" s="9">
        <f t="shared" si="7"/>
        <v>5</v>
      </c>
      <c r="E42" s="9">
        <f t="shared" si="7"/>
        <v>5</v>
      </c>
      <c r="F42" s="9">
        <f t="shared" si="7"/>
        <v>5</v>
      </c>
      <c r="G42" s="9">
        <f t="shared" si="7"/>
        <v>5</v>
      </c>
      <c r="H42" s="9">
        <f t="shared" si="7"/>
        <v>5</v>
      </c>
      <c r="I42" s="9">
        <f t="shared" si="7"/>
        <v>5</v>
      </c>
      <c r="J42" s="9">
        <f t="shared" si="7"/>
        <v>5</v>
      </c>
      <c r="K42" s="9">
        <f t="shared" si="7"/>
        <v>5</v>
      </c>
      <c r="L42" s="9">
        <f t="shared" si="7"/>
        <v>5</v>
      </c>
      <c r="M42" s="9">
        <f t="shared" si="7"/>
        <v>5</v>
      </c>
      <c r="N42" s="9">
        <f t="shared" si="7"/>
        <v>5</v>
      </c>
    </row>
    <row r="43" spans="2:14" ht="16.5" customHeight="1">
      <c r="B43" s="6" t="s">
        <v>3</v>
      </c>
      <c r="C43" s="9">
        <f t="shared" si="7"/>
        <v>-3</v>
      </c>
      <c r="D43" s="9">
        <f t="shared" si="7"/>
        <v>-3</v>
      </c>
      <c r="E43" s="9">
        <f t="shared" si="7"/>
        <v>-3</v>
      </c>
      <c r="F43" s="9">
        <f t="shared" si="7"/>
        <v>-3</v>
      </c>
      <c r="G43" s="9">
        <f t="shared" si="7"/>
        <v>-3</v>
      </c>
      <c r="H43" s="9">
        <f t="shared" si="7"/>
        <v>-3</v>
      </c>
      <c r="I43" s="9">
        <f t="shared" si="7"/>
        <v>-3</v>
      </c>
      <c r="J43" s="9">
        <f t="shared" si="7"/>
        <v>-3</v>
      </c>
      <c r="K43" s="9">
        <f t="shared" si="7"/>
        <v>-3</v>
      </c>
      <c r="L43" s="9">
        <f t="shared" si="7"/>
        <v>-3</v>
      </c>
      <c r="M43" s="9">
        <f t="shared" si="7"/>
        <v>-3</v>
      </c>
      <c r="N43" s="9">
        <f t="shared" si="7"/>
        <v>-3</v>
      </c>
    </row>
    <row r="44" spans="2:14" ht="16.5" customHeight="1">
      <c r="B44" s="4" t="s">
        <v>25</v>
      </c>
      <c r="C44" s="9">
        <f t="shared" si="8" ref="C44:N45">C42*0.25</f>
        <v>-0.75</v>
      </c>
      <c r="D44" s="9">
        <f t="shared" si="8"/>
        <v>1.25</v>
      </c>
      <c r="E44" s="9">
        <f t="shared" si="8"/>
        <v>1.25</v>
      </c>
      <c r="F44" s="9">
        <f t="shared" si="8"/>
        <v>1.25</v>
      </c>
      <c r="G44" s="9">
        <f t="shared" si="8"/>
        <v>1.25</v>
      </c>
      <c r="H44" s="9">
        <f t="shared" si="8"/>
        <v>1.25</v>
      </c>
      <c r="I44" s="9">
        <f t="shared" si="8"/>
        <v>1.25</v>
      </c>
      <c r="J44" s="9">
        <f t="shared" si="8"/>
        <v>1.25</v>
      </c>
      <c r="K44" s="9">
        <f t="shared" si="8"/>
        <v>1.25</v>
      </c>
      <c r="L44" s="9">
        <f t="shared" si="8"/>
        <v>1.25</v>
      </c>
      <c r="M44" s="9">
        <f t="shared" si="8"/>
        <v>1.25</v>
      </c>
      <c r="N44" s="9">
        <f t="shared" si="8"/>
        <v>1.25</v>
      </c>
    </row>
    <row r="45" spans="2:14" ht="16.5" customHeight="1">
      <c r="B45" s="6" t="s">
        <v>3</v>
      </c>
      <c r="C45" s="9">
        <f t="shared" si="8"/>
        <v>-0.75</v>
      </c>
      <c r="D45" s="9">
        <f t="shared" si="8"/>
        <v>-0.75</v>
      </c>
      <c r="E45" s="9">
        <f t="shared" si="8"/>
        <v>-0.75</v>
      </c>
      <c r="F45" s="9">
        <f t="shared" si="8"/>
        <v>-0.75</v>
      </c>
      <c r="G45" s="9">
        <f t="shared" si="8"/>
        <v>-0.75</v>
      </c>
      <c r="H45" s="9">
        <f t="shared" si="8"/>
        <v>-0.75</v>
      </c>
      <c r="I45" s="9">
        <f t="shared" si="8"/>
        <v>-0.75</v>
      </c>
      <c r="J45" s="9">
        <f t="shared" si="8"/>
        <v>-0.75</v>
      </c>
      <c r="K45" s="9">
        <f t="shared" si="8"/>
        <v>-0.75</v>
      </c>
      <c r="L45" s="9">
        <f t="shared" si="8"/>
        <v>-0.75</v>
      </c>
      <c r="M45" s="9">
        <f t="shared" si="8"/>
        <v>-0.75</v>
      </c>
      <c r="N45" s="9">
        <f t="shared" si="8"/>
        <v>-0.75</v>
      </c>
    </row>
    <row r="46" spans="2:14" ht="16.5" customHeight="1">
      <c r="B46" s="8" t="s">
        <v>26</v>
      </c>
      <c r="C46" s="9">
        <f t="shared" si="0"/>
        <v>-2.25</v>
      </c>
      <c r="D46" s="9">
        <f t="shared" si="0"/>
        <v>3.75</v>
      </c>
      <c r="E46" s="9">
        <f t="shared" si="0"/>
        <v>3.75</v>
      </c>
      <c r="F46" s="9">
        <f t="shared" si="0"/>
        <v>3.75</v>
      </c>
      <c r="G46" s="9">
        <f t="shared" si="0"/>
        <v>3.75</v>
      </c>
      <c r="H46" s="9">
        <f t="shared" si="0"/>
        <v>3.75</v>
      </c>
      <c r="I46" s="9">
        <f t="shared" si="0"/>
        <v>3.75</v>
      </c>
      <c r="J46" s="9">
        <f t="shared" si="0"/>
        <v>3.75</v>
      </c>
      <c r="K46" s="9">
        <f t="shared" si="0"/>
        <v>3.75</v>
      </c>
      <c r="L46" s="9">
        <f t="shared" si="0"/>
        <v>3.75</v>
      </c>
      <c r="M46" s="9">
        <f t="shared" si="0"/>
        <v>3.75</v>
      </c>
      <c r="N46" s="9">
        <f t="shared" si="0"/>
        <v>3.75</v>
      </c>
    </row>
    <row r="47" spans="2:14" ht="16.5" customHeight="1">
      <c r="B47" s="6" t="s">
        <v>3</v>
      </c>
      <c r="C47" s="9">
        <f t="shared" si="0"/>
        <v>-2.25</v>
      </c>
      <c r="D47" s="9">
        <f t="shared" si="0"/>
        <v>-2.25</v>
      </c>
      <c r="E47" s="9">
        <f t="shared" si="0"/>
        <v>-2.25</v>
      </c>
      <c r="F47" s="9">
        <f t="shared" si="0"/>
        <v>-2.25</v>
      </c>
      <c r="G47" s="9">
        <f t="shared" si="0"/>
        <v>-2.25</v>
      </c>
      <c r="H47" s="9">
        <f t="shared" si="0"/>
        <v>-2.25</v>
      </c>
      <c r="I47" s="9">
        <f t="shared" si="0"/>
        <v>-2.25</v>
      </c>
      <c r="J47" s="9">
        <f t="shared" si="0"/>
        <v>-2.25</v>
      </c>
      <c r="K47" s="9">
        <f t="shared" si="0"/>
        <v>-2.25</v>
      </c>
      <c r="L47" s="9">
        <f t="shared" si="0"/>
        <v>-2.25</v>
      </c>
      <c r="M47" s="9">
        <f t="shared" si="0"/>
        <v>-2.25</v>
      </c>
      <c r="N47" s="9">
        <f t="shared" si="0"/>
        <v>-2.25</v>
      </c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.3" footer="0.3"/>
  <pageSetup orientation="portrait" paperSize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64C7E6-78C8-2E3E-EB07-279846CFFC68}">
  <dimension ref="B2:N45"/>
  <sheetViews>
    <sheetView showGridLines="0" workbookViewId="0" topLeftCell="A1">
      <selection pane="topLeft" activeCell="C45" sqref="C45"/>
    </sheetView>
  </sheetViews>
  <sheetFormatPr defaultColWidth="7.755" defaultRowHeight="15" customHeight="1"/>
  <cols>
    <col min="1" max="1" width="7.75" style="1"/>
    <col min="2" max="2" width="25" style="1" customWidth="1"/>
    <col min="3" max="14" width="9.375" style="1" customWidth="1"/>
    <col min="15" max="16" width="10.625" style="1" customWidth="1"/>
    <col min="17" max="17" width="8.75" style="1" customWidth="1"/>
    <col min="18" max="16384" width="7.75" style="1"/>
  </cols>
  <sheetData>
    <row r="2" spans="2:2" ht="18" customHeight="1">
      <c r="B2" s="21" t="s">
        <v>27</v>
      </c>
    </row>
    <row r="3" spans="2:2" ht="15" customHeight="1">
      <c r="B3" s="22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2" ht="15" customHeight="1">
      <c r="B5" s="24" t="s">
        <v>28</v>
      </c>
    </row>
    <row r="6" spans="2:14" ht="15.75" customHeight="1">
      <c r="B6" s="25" t="s">
        <v>29</v>
      </c>
      <c r="C6" s="65">
        <v>1</v>
      </c>
      <c r="D6" s="65">
        <v>1</v>
      </c>
      <c r="E6" s="65">
        <v>1</v>
      </c>
      <c r="F6" s="65">
        <v>1</v>
      </c>
      <c r="G6" s="65">
        <v>1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1</v>
      </c>
      <c r="N6" s="66">
        <v>1</v>
      </c>
    </row>
    <row r="7" spans="2:14" ht="15" customHeight="1">
      <c r="B7" s="28" t="s">
        <v>3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</row>
    <row r="8" spans="2:14" ht="15.75" customHeight="1">
      <c r="B8" s="25" t="s">
        <v>30</v>
      </c>
      <c r="C8" s="65">
        <v>1</v>
      </c>
      <c r="D8" s="65">
        <v>1</v>
      </c>
      <c r="E8" s="65">
        <v>1</v>
      </c>
      <c r="F8" s="65">
        <v>1</v>
      </c>
      <c r="G8" s="65">
        <v>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1</v>
      </c>
      <c r="N8" s="66">
        <v>1</v>
      </c>
    </row>
    <row r="9" spans="2:14" ht="15" customHeight="1">
      <c r="B9" s="28" t="s">
        <v>3</v>
      </c>
      <c r="C9" s="66">
        <v>1</v>
      </c>
      <c r="D9" s="66">
        <v>1</v>
      </c>
      <c r="E9" s="66">
        <v>1</v>
      </c>
      <c r="F9" s="66">
        <v>1</v>
      </c>
      <c r="G9" s="66">
        <v>1</v>
      </c>
      <c r="H9" s="66">
        <v>1</v>
      </c>
      <c r="I9" s="66">
        <v>1</v>
      </c>
      <c r="J9" s="66">
        <v>1</v>
      </c>
      <c r="K9" s="66">
        <v>1</v>
      </c>
      <c r="L9" s="66">
        <v>1</v>
      </c>
      <c r="M9" s="66">
        <v>1</v>
      </c>
      <c r="N9" s="66">
        <v>1</v>
      </c>
    </row>
    <row r="10" spans="2:14" ht="15.75" customHeight="1">
      <c r="B10" s="25" t="s">
        <v>31</v>
      </c>
      <c r="C10" s="65">
        <v>1</v>
      </c>
      <c r="D10" s="65">
        <v>1</v>
      </c>
      <c r="E10" s="65">
        <v>1</v>
      </c>
      <c r="F10" s="65">
        <v>1</v>
      </c>
      <c r="G10" s="65">
        <v>1</v>
      </c>
      <c r="H10" s="65">
        <v>1</v>
      </c>
      <c r="I10" s="65">
        <v>1</v>
      </c>
      <c r="J10" s="65">
        <v>1</v>
      </c>
      <c r="K10" s="65">
        <v>1</v>
      </c>
      <c r="L10" s="65">
        <v>1</v>
      </c>
      <c r="M10" s="65">
        <v>1</v>
      </c>
      <c r="N10" s="66">
        <v>1</v>
      </c>
    </row>
    <row r="11" spans="2:14" ht="15" customHeight="1">
      <c r="B11" s="28" t="s">
        <v>3</v>
      </c>
      <c r="C11" s="66">
        <v>1</v>
      </c>
      <c r="D11" s="66">
        <v>1</v>
      </c>
      <c r="E11" s="66">
        <v>1</v>
      </c>
      <c r="F11" s="66">
        <v>1</v>
      </c>
      <c r="G11" s="66">
        <v>1</v>
      </c>
      <c r="H11" s="66">
        <v>1</v>
      </c>
      <c r="I11" s="66">
        <v>1</v>
      </c>
      <c r="J11" s="66">
        <v>1</v>
      </c>
      <c r="K11" s="66">
        <v>1</v>
      </c>
      <c r="L11" s="66">
        <v>1</v>
      </c>
      <c r="M11" s="66">
        <v>1</v>
      </c>
      <c r="N11" s="66">
        <v>1</v>
      </c>
    </row>
    <row r="12" spans="2:14" ht="15.75" customHeight="1">
      <c r="B12" s="25" t="s">
        <v>32</v>
      </c>
      <c r="C12" s="65">
        <v>1</v>
      </c>
      <c r="D12" s="65">
        <v>1</v>
      </c>
      <c r="E12" s="65">
        <v>1</v>
      </c>
      <c r="F12" s="65">
        <v>1</v>
      </c>
      <c r="G12" s="65">
        <v>1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1</v>
      </c>
      <c r="N12" s="66">
        <v>1</v>
      </c>
    </row>
    <row r="13" spans="2:14" ht="15" customHeight="1">
      <c r="B13" s="28" t="s">
        <v>3</v>
      </c>
      <c r="C13" s="66">
        <v>1</v>
      </c>
      <c r="D13" s="66">
        <v>1</v>
      </c>
      <c r="E13" s="66">
        <v>1</v>
      </c>
      <c r="F13" s="66">
        <v>1</v>
      </c>
      <c r="G13" s="66">
        <v>1</v>
      </c>
      <c r="H13" s="66">
        <v>1</v>
      </c>
      <c r="I13" s="66">
        <v>1</v>
      </c>
      <c r="J13" s="66">
        <v>1</v>
      </c>
      <c r="K13" s="66">
        <v>1</v>
      </c>
      <c r="L13" s="66">
        <v>1</v>
      </c>
      <c r="M13" s="66">
        <v>1</v>
      </c>
      <c r="N13" s="66">
        <v>1</v>
      </c>
    </row>
    <row r="14" spans="2:14" ht="15.75" customHeight="1">
      <c r="B14" s="24" t="s">
        <v>33</v>
      </c>
      <c r="C14" s="30">
        <f t="shared" si="0" ref="C14:N15">SUM(C6,C8,C10,C12)</f>
        <v>4</v>
      </c>
      <c r="D14" s="30">
        <f t="shared" si="0"/>
        <v>4</v>
      </c>
      <c r="E14" s="30">
        <f t="shared" si="0"/>
        <v>4</v>
      </c>
      <c r="F14" s="30">
        <f t="shared" si="0"/>
        <v>4</v>
      </c>
      <c r="G14" s="30">
        <f t="shared" si="0"/>
        <v>4</v>
      </c>
      <c r="H14" s="30">
        <f t="shared" si="0"/>
        <v>4</v>
      </c>
      <c r="I14" s="30">
        <f t="shared" si="0"/>
        <v>4</v>
      </c>
      <c r="J14" s="30">
        <f t="shared" si="0"/>
        <v>4</v>
      </c>
      <c r="K14" s="30">
        <f t="shared" si="0"/>
        <v>4</v>
      </c>
      <c r="L14" s="30">
        <f t="shared" si="0"/>
        <v>4</v>
      </c>
      <c r="M14" s="30">
        <f t="shared" si="0"/>
        <v>4</v>
      </c>
      <c r="N14" s="30">
        <f t="shared" si="0"/>
        <v>4</v>
      </c>
    </row>
    <row r="15" spans="2:14" ht="15" customHeight="1">
      <c r="B15" s="25" t="s">
        <v>3</v>
      </c>
      <c r="C15" s="30">
        <f t="shared" si="0"/>
        <v>4</v>
      </c>
      <c r="D15" s="30">
        <f t="shared" si="0"/>
        <v>4</v>
      </c>
      <c r="E15" s="30">
        <f t="shared" si="0"/>
        <v>4</v>
      </c>
      <c r="F15" s="30">
        <f t="shared" si="0"/>
        <v>4</v>
      </c>
      <c r="G15" s="30">
        <f t="shared" si="0"/>
        <v>4</v>
      </c>
      <c r="H15" s="30">
        <f t="shared" si="0"/>
        <v>4</v>
      </c>
      <c r="I15" s="30">
        <f t="shared" si="0"/>
        <v>4</v>
      </c>
      <c r="J15" s="30">
        <f t="shared" si="0"/>
        <v>4</v>
      </c>
      <c r="K15" s="30">
        <f t="shared" si="0"/>
        <v>4</v>
      </c>
      <c r="L15" s="30">
        <f t="shared" si="0"/>
        <v>4</v>
      </c>
      <c r="M15" s="30">
        <f t="shared" si="0"/>
        <v>4</v>
      </c>
      <c r="N15" s="30">
        <f t="shared" si="0"/>
        <v>4</v>
      </c>
    </row>
    <row r="16" spans="2:2" ht="15" customHeight="1">
      <c r="B16" s="25"/>
    </row>
    <row r="17" spans="2:14" ht="15.75" customHeight="1">
      <c r="B17" s="25" t="s">
        <v>34</v>
      </c>
      <c r="C17" s="65">
        <v>1</v>
      </c>
      <c r="D17" s="65">
        <v>1</v>
      </c>
      <c r="E17" s="65">
        <v>1</v>
      </c>
      <c r="F17" s="65">
        <v>1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1</v>
      </c>
      <c r="N17" s="66">
        <v>1</v>
      </c>
    </row>
    <row r="18" spans="2:14" ht="15" customHeight="1">
      <c r="B18" s="28" t="s">
        <v>3</v>
      </c>
      <c r="C18" s="66">
        <v>1</v>
      </c>
      <c r="D18" s="66">
        <v>1</v>
      </c>
      <c r="E18" s="66">
        <v>1</v>
      </c>
      <c r="F18" s="66">
        <v>1</v>
      </c>
      <c r="G18" s="66">
        <v>1</v>
      </c>
      <c r="H18" s="66">
        <v>1</v>
      </c>
      <c r="I18" s="66">
        <v>1</v>
      </c>
      <c r="J18" s="66">
        <v>1</v>
      </c>
      <c r="K18" s="66">
        <v>1</v>
      </c>
      <c r="L18" s="66">
        <v>1</v>
      </c>
      <c r="M18" s="66">
        <v>1</v>
      </c>
      <c r="N18" s="66">
        <v>1</v>
      </c>
    </row>
    <row r="19" spans="2:14" ht="15.75" customHeight="1">
      <c r="B19" s="25" t="s">
        <v>35</v>
      </c>
      <c r="C19" s="65">
        <v>1</v>
      </c>
      <c r="D19" s="65">
        <v>1</v>
      </c>
      <c r="E19" s="65">
        <v>1</v>
      </c>
      <c r="F19" s="65">
        <v>1</v>
      </c>
      <c r="G19" s="65">
        <v>1</v>
      </c>
      <c r="H19" s="65">
        <v>1</v>
      </c>
      <c r="I19" s="65">
        <v>1</v>
      </c>
      <c r="J19" s="65">
        <v>1</v>
      </c>
      <c r="K19" s="65">
        <v>1</v>
      </c>
      <c r="L19" s="65">
        <v>1</v>
      </c>
      <c r="M19" s="65">
        <v>1</v>
      </c>
      <c r="N19" s="66">
        <v>1</v>
      </c>
    </row>
    <row r="20" spans="2:14" ht="15" customHeight="1">
      <c r="B20" s="28" t="s">
        <v>3</v>
      </c>
      <c r="C20" s="66">
        <v>1</v>
      </c>
      <c r="D20" s="66">
        <v>1</v>
      </c>
      <c r="E20" s="66">
        <v>1</v>
      </c>
      <c r="F20" s="66">
        <v>1</v>
      </c>
      <c r="G20" s="66">
        <v>1</v>
      </c>
      <c r="H20" s="66">
        <v>1</v>
      </c>
      <c r="I20" s="66">
        <v>1</v>
      </c>
      <c r="J20" s="66">
        <v>1</v>
      </c>
      <c r="K20" s="66">
        <v>1</v>
      </c>
      <c r="L20" s="66">
        <v>1</v>
      </c>
      <c r="M20" s="66">
        <v>1</v>
      </c>
      <c r="N20" s="66">
        <v>1</v>
      </c>
    </row>
    <row r="21" spans="2:14" ht="15.75" customHeight="1">
      <c r="B21" s="25" t="s">
        <v>36</v>
      </c>
      <c r="C21" s="65">
        <v>1</v>
      </c>
      <c r="D21" s="65">
        <v>1</v>
      </c>
      <c r="E21" s="65">
        <v>1</v>
      </c>
      <c r="F21" s="65">
        <v>1</v>
      </c>
      <c r="G21" s="65">
        <v>1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1</v>
      </c>
      <c r="N21" s="66">
        <v>1</v>
      </c>
    </row>
    <row r="22" spans="2:14" ht="15" customHeight="1">
      <c r="B22" s="28" t="s">
        <v>3</v>
      </c>
      <c r="C22" s="66">
        <v>1</v>
      </c>
      <c r="D22" s="66">
        <v>1</v>
      </c>
      <c r="E22" s="66">
        <v>1</v>
      </c>
      <c r="F22" s="66">
        <v>1</v>
      </c>
      <c r="G22" s="66">
        <v>1</v>
      </c>
      <c r="H22" s="66">
        <v>1</v>
      </c>
      <c r="I22" s="66">
        <v>1</v>
      </c>
      <c r="J22" s="66">
        <v>1</v>
      </c>
      <c r="K22" s="66">
        <v>1</v>
      </c>
      <c r="L22" s="66">
        <v>1</v>
      </c>
      <c r="M22" s="66">
        <v>1</v>
      </c>
      <c r="N22" s="66">
        <v>1</v>
      </c>
    </row>
    <row r="23" spans="2:14" ht="15.75" customHeight="1">
      <c r="B23" s="24" t="s">
        <v>37</v>
      </c>
      <c r="C23" s="30">
        <f t="shared" si="1" ref="C23:N24">C14+C17+C19+C21</f>
        <v>7</v>
      </c>
      <c r="D23" s="30">
        <f t="shared" si="1"/>
        <v>7</v>
      </c>
      <c r="E23" s="30">
        <f t="shared" si="1"/>
        <v>7</v>
      </c>
      <c r="F23" s="30">
        <f t="shared" si="1"/>
        <v>7</v>
      </c>
      <c r="G23" s="30">
        <f t="shared" si="1"/>
        <v>7</v>
      </c>
      <c r="H23" s="30">
        <f t="shared" si="1"/>
        <v>7</v>
      </c>
      <c r="I23" s="30">
        <f t="shared" si="1"/>
        <v>7</v>
      </c>
      <c r="J23" s="30">
        <f t="shared" si="1"/>
        <v>7</v>
      </c>
      <c r="K23" s="30">
        <f t="shared" si="1"/>
        <v>7</v>
      </c>
      <c r="L23" s="30">
        <f t="shared" si="1"/>
        <v>7</v>
      </c>
      <c r="M23" s="30">
        <f t="shared" si="1"/>
        <v>7</v>
      </c>
      <c r="N23" s="30">
        <f t="shared" si="1"/>
        <v>7</v>
      </c>
    </row>
    <row r="24" spans="2:14" ht="15" customHeight="1">
      <c r="B24" s="25" t="s">
        <v>3</v>
      </c>
      <c r="C24" s="30">
        <f t="shared" si="1"/>
        <v>7</v>
      </c>
      <c r="D24" s="30">
        <f t="shared" si="1"/>
        <v>7</v>
      </c>
      <c r="E24" s="30">
        <f t="shared" si="1"/>
        <v>7</v>
      </c>
      <c r="F24" s="30">
        <f t="shared" si="1"/>
        <v>7</v>
      </c>
      <c r="G24" s="30">
        <f t="shared" si="1"/>
        <v>7</v>
      </c>
      <c r="H24" s="30">
        <f t="shared" si="1"/>
        <v>7</v>
      </c>
      <c r="I24" s="30">
        <f t="shared" si="1"/>
        <v>7</v>
      </c>
      <c r="J24" s="30">
        <f t="shared" si="1"/>
        <v>7</v>
      </c>
      <c r="K24" s="30">
        <f t="shared" si="1"/>
        <v>7</v>
      </c>
      <c r="L24" s="30">
        <f t="shared" si="1"/>
        <v>7</v>
      </c>
      <c r="M24" s="30">
        <f t="shared" si="1"/>
        <v>7</v>
      </c>
      <c r="N24" s="30">
        <f t="shared" si="1"/>
        <v>7</v>
      </c>
    </row>
    <row r="26" spans="2:2" ht="15" customHeight="1">
      <c r="B26" s="24" t="s">
        <v>38</v>
      </c>
    </row>
    <row r="27" spans="2:14" ht="15.75" customHeight="1">
      <c r="B27" s="25" t="s">
        <v>39</v>
      </c>
      <c r="C27" s="65">
        <v>1</v>
      </c>
      <c r="D27" s="65">
        <v>1</v>
      </c>
      <c r="E27" s="65">
        <v>1</v>
      </c>
      <c r="F27" s="65">
        <v>1</v>
      </c>
      <c r="G27" s="65">
        <v>1</v>
      </c>
      <c r="H27" s="65">
        <v>1</v>
      </c>
      <c r="I27" s="65">
        <v>1</v>
      </c>
      <c r="J27" s="65">
        <v>1</v>
      </c>
      <c r="K27" s="65">
        <v>1</v>
      </c>
      <c r="L27" s="65">
        <v>1</v>
      </c>
      <c r="M27" s="65">
        <v>1</v>
      </c>
      <c r="N27" s="66">
        <v>1</v>
      </c>
    </row>
    <row r="28" spans="2:14" ht="15" customHeight="1">
      <c r="B28" s="28" t="s">
        <v>3</v>
      </c>
      <c r="C28" s="66">
        <v>1</v>
      </c>
      <c r="D28" s="66">
        <v>1</v>
      </c>
      <c r="E28" s="66">
        <v>1</v>
      </c>
      <c r="F28" s="66">
        <v>1</v>
      </c>
      <c r="G28" s="66">
        <v>1</v>
      </c>
      <c r="H28" s="66">
        <v>1</v>
      </c>
      <c r="I28" s="66">
        <v>1</v>
      </c>
      <c r="J28" s="66">
        <v>1</v>
      </c>
      <c r="K28" s="66">
        <v>1</v>
      </c>
      <c r="L28" s="66">
        <v>1</v>
      </c>
      <c r="M28" s="66">
        <v>1</v>
      </c>
      <c r="N28" s="66">
        <v>1</v>
      </c>
    </row>
    <row r="29" spans="2:14" ht="15.75" customHeight="1">
      <c r="B29" s="25" t="s">
        <v>40</v>
      </c>
      <c r="C29" s="65">
        <v>1</v>
      </c>
      <c r="D29" s="65">
        <v>1</v>
      </c>
      <c r="E29" s="65">
        <v>1</v>
      </c>
      <c r="F29" s="65">
        <v>1</v>
      </c>
      <c r="G29" s="65">
        <v>1</v>
      </c>
      <c r="H29" s="65">
        <v>1</v>
      </c>
      <c r="I29" s="65">
        <v>1</v>
      </c>
      <c r="J29" s="65">
        <v>1</v>
      </c>
      <c r="K29" s="65">
        <v>1</v>
      </c>
      <c r="L29" s="65">
        <v>1</v>
      </c>
      <c r="M29" s="65">
        <v>1</v>
      </c>
      <c r="N29" s="66">
        <v>1</v>
      </c>
    </row>
    <row r="30" spans="2:14" ht="15" customHeight="1">
      <c r="B30" s="28" t="s">
        <v>3</v>
      </c>
      <c r="C30" s="66">
        <v>1</v>
      </c>
      <c r="D30" s="66">
        <v>1</v>
      </c>
      <c r="E30" s="66">
        <v>1</v>
      </c>
      <c r="F30" s="66">
        <v>1</v>
      </c>
      <c r="G30" s="66">
        <v>1</v>
      </c>
      <c r="H30" s="66">
        <v>1</v>
      </c>
      <c r="I30" s="66">
        <v>1</v>
      </c>
      <c r="J30" s="66">
        <v>1</v>
      </c>
      <c r="K30" s="66">
        <v>1</v>
      </c>
      <c r="L30" s="66">
        <v>1</v>
      </c>
      <c r="M30" s="66">
        <v>1</v>
      </c>
      <c r="N30" s="66">
        <v>1</v>
      </c>
    </row>
    <row r="31" spans="2:14" ht="15.75" customHeight="1">
      <c r="B31" s="25" t="s">
        <v>41</v>
      </c>
      <c r="C31" s="65">
        <v>1</v>
      </c>
      <c r="D31" s="65">
        <v>1</v>
      </c>
      <c r="E31" s="65">
        <v>1</v>
      </c>
      <c r="F31" s="65">
        <v>1</v>
      </c>
      <c r="G31" s="65">
        <v>1</v>
      </c>
      <c r="H31" s="65">
        <v>1</v>
      </c>
      <c r="I31" s="65">
        <v>1</v>
      </c>
      <c r="J31" s="65">
        <v>1</v>
      </c>
      <c r="K31" s="65">
        <v>1</v>
      </c>
      <c r="L31" s="65">
        <v>1</v>
      </c>
      <c r="M31" s="65">
        <v>1</v>
      </c>
      <c r="N31" s="66">
        <v>1</v>
      </c>
    </row>
    <row r="32" spans="2:14" ht="15" customHeight="1">
      <c r="B32" s="28" t="s">
        <v>3</v>
      </c>
      <c r="C32" s="66">
        <v>1</v>
      </c>
      <c r="D32" s="66">
        <v>1</v>
      </c>
      <c r="E32" s="66">
        <v>1</v>
      </c>
      <c r="F32" s="66">
        <v>1</v>
      </c>
      <c r="G32" s="66">
        <v>1</v>
      </c>
      <c r="H32" s="66">
        <v>1</v>
      </c>
      <c r="I32" s="66">
        <v>1</v>
      </c>
      <c r="J32" s="66">
        <v>1</v>
      </c>
      <c r="K32" s="66">
        <v>1</v>
      </c>
      <c r="L32" s="66">
        <v>1</v>
      </c>
      <c r="M32" s="66">
        <v>1</v>
      </c>
      <c r="N32" s="66">
        <v>1</v>
      </c>
    </row>
    <row r="33" spans="2:14" ht="15.75" customHeight="1">
      <c r="B33" s="24" t="s">
        <v>42</v>
      </c>
      <c r="C33" s="30">
        <f t="shared" si="2" ref="C33:N34">SUM(C27,C29,C31)</f>
        <v>3</v>
      </c>
      <c r="D33" s="30">
        <f t="shared" si="2"/>
        <v>3</v>
      </c>
      <c r="E33" s="30">
        <f t="shared" si="2"/>
        <v>3</v>
      </c>
      <c r="F33" s="30">
        <f t="shared" si="2"/>
        <v>3</v>
      </c>
      <c r="G33" s="30">
        <f t="shared" si="2"/>
        <v>3</v>
      </c>
      <c r="H33" s="30">
        <f t="shared" si="2"/>
        <v>3</v>
      </c>
      <c r="I33" s="30">
        <f t="shared" si="2"/>
        <v>3</v>
      </c>
      <c r="J33" s="30">
        <f t="shared" si="2"/>
        <v>3</v>
      </c>
      <c r="K33" s="30">
        <f t="shared" si="2"/>
        <v>3</v>
      </c>
      <c r="L33" s="30">
        <f t="shared" si="2"/>
        <v>3</v>
      </c>
      <c r="M33" s="30">
        <f t="shared" si="2"/>
        <v>3</v>
      </c>
      <c r="N33" s="30">
        <f t="shared" si="2"/>
        <v>3</v>
      </c>
    </row>
    <row r="34" spans="2:14" ht="15" customHeight="1">
      <c r="B34" s="25" t="s">
        <v>3</v>
      </c>
      <c r="C34" s="30">
        <f t="shared" si="2"/>
        <v>3</v>
      </c>
      <c r="D34" s="30">
        <f t="shared" si="2"/>
        <v>3</v>
      </c>
      <c r="E34" s="30">
        <f t="shared" si="2"/>
        <v>3</v>
      </c>
      <c r="F34" s="30">
        <f t="shared" si="2"/>
        <v>3</v>
      </c>
      <c r="G34" s="30">
        <f t="shared" si="2"/>
        <v>3</v>
      </c>
      <c r="H34" s="30">
        <f t="shared" si="2"/>
        <v>3</v>
      </c>
      <c r="I34" s="30">
        <f t="shared" si="2"/>
        <v>3</v>
      </c>
      <c r="J34" s="30">
        <f t="shared" si="2"/>
        <v>3</v>
      </c>
      <c r="K34" s="30">
        <f t="shared" si="2"/>
        <v>3</v>
      </c>
      <c r="L34" s="30">
        <f t="shared" si="2"/>
        <v>3</v>
      </c>
      <c r="M34" s="30">
        <f t="shared" si="2"/>
        <v>3</v>
      </c>
      <c r="N34" s="30">
        <f t="shared" si="2"/>
        <v>3</v>
      </c>
    </row>
    <row r="35" spans="2:2" ht="15" customHeight="1">
      <c r="B35" s="25"/>
    </row>
    <row r="36" spans="2:14" ht="15.75" customHeight="1">
      <c r="B36" s="25" t="s">
        <v>43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6">
        <v>1</v>
      </c>
    </row>
    <row r="37" spans="2:14" ht="15" customHeight="1">
      <c r="B37" s="28" t="s">
        <v>3</v>
      </c>
      <c r="C37" s="66">
        <v>1</v>
      </c>
      <c r="D37" s="66">
        <v>1</v>
      </c>
      <c r="E37" s="66">
        <v>1</v>
      </c>
      <c r="F37" s="66">
        <v>1</v>
      </c>
      <c r="G37" s="66">
        <v>1</v>
      </c>
      <c r="H37" s="66">
        <v>1</v>
      </c>
      <c r="I37" s="66">
        <v>1</v>
      </c>
      <c r="J37" s="66">
        <v>1</v>
      </c>
      <c r="K37" s="66">
        <v>1</v>
      </c>
      <c r="L37" s="66">
        <v>1</v>
      </c>
      <c r="M37" s="66">
        <v>1</v>
      </c>
      <c r="N37" s="66">
        <v>1</v>
      </c>
    </row>
    <row r="38" spans="2:14" ht="15.75" customHeight="1">
      <c r="B38" s="24" t="s">
        <v>44</v>
      </c>
      <c r="C38" s="30">
        <f t="shared" si="3" ref="C38:N39">C33+C36</f>
        <v>4</v>
      </c>
      <c r="D38" s="30">
        <f t="shared" si="3"/>
        <v>4</v>
      </c>
      <c r="E38" s="30">
        <f t="shared" si="3"/>
        <v>4</v>
      </c>
      <c r="F38" s="30">
        <f t="shared" si="3"/>
        <v>4</v>
      </c>
      <c r="G38" s="30">
        <f t="shared" si="3"/>
        <v>4</v>
      </c>
      <c r="H38" s="30">
        <f t="shared" si="3"/>
        <v>4</v>
      </c>
      <c r="I38" s="30">
        <f t="shared" si="3"/>
        <v>4</v>
      </c>
      <c r="J38" s="30">
        <f t="shared" si="3"/>
        <v>4</v>
      </c>
      <c r="K38" s="30">
        <f t="shared" si="3"/>
        <v>4</v>
      </c>
      <c r="L38" s="30">
        <f t="shared" si="3"/>
        <v>4</v>
      </c>
      <c r="M38" s="30">
        <f t="shared" si="3"/>
        <v>4</v>
      </c>
      <c r="N38" s="30">
        <f t="shared" si="3"/>
        <v>4</v>
      </c>
    </row>
    <row r="39" spans="2:14" ht="15" customHeight="1">
      <c r="B39" s="25" t="s">
        <v>3</v>
      </c>
      <c r="C39" s="30">
        <f t="shared" si="3"/>
        <v>4</v>
      </c>
      <c r="D39" s="30">
        <f t="shared" si="3"/>
        <v>4</v>
      </c>
      <c r="E39" s="30">
        <f t="shared" si="3"/>
        <v>4</v>
      </c>
      <c r="F39" s="30">
        <f t="shared" si="3"/>
        <v>4</v>
      </c>
      <c r="G39" s="30">
        <f t="shared" si="3"/>
        <v>4</v>
      </c>
      <c r="H39" s="30">
        <f t="shared" si="3"/>
        <v>4</v>
      </c>
      <c r="I39" s="30">
        <f t="shared" si="3"/>
        <v>4</v>
      </c>
      <c r="J39" s="30">
        <f t="shared" si="3"/>
        <v>4</v>
      </c>
      <c r="K39" s="30">
        <f t="shared" si="3"/>
        <v>4</v>
      </c>
      <c r="L39" s="30">
        <f t="shared" si="3"/>
        <v>4</v>
      </c>
      <c r="M39" s="30">
        <f t="shared" si="3"/>
        <v>4</v>
      </c>
      <c r="N39" s="30">
        <f t="shared" si="3"/>
        <v>4</v>
      </c>
    </row>
    <row r="40" spans="2:2" ht="15" customHeight="1">
      <c r="B40" s="25"/>
    </row>
    <row r="41" spans="2:2" ht="15" customHeight="1">
      <c r="B41" s="24" t="s">
        <v>45</v>
      </c>
    </row>
    <row r="42" spans="2:14" ht="15.75" customHeight="1">
      <c r="B42" s="24" t="s">
        <v>46</v>
      </c>
      <c r="C42" s="30">
        <f t="shared" si="4" ref="C42:N43">C23-C38</f>
        <v>3</v>
      </c>
      <c r="D42" s="30">
        <f t="shared" si="4"/>
        <v>3</v>
      </c>
      <c r="E42" s="30">
        <f t="shared" si="4"/>
        <v>3</v>
      </c>
      <c r="F42" s="30">
        <f t="shared" si="4"/>
        <v>3</v>
      </c>
      <c r="G42" s="30">
        <f t="shared" si="4"/>
        <v>3</v>
      </c>
      <c r="H42" s="30">
        <f t="shared" si="4"/>
        <v>3</v>
      </c>
      <c r="I42" s="30">
        <f t="shared" si="4"/>
        <v>3</v>
      </c>
      <c r="J42" s="30">
        <f t="shared" si="4"/>
        <v>3</v>
      </c>
      <c r="K42" s="30">
        <f t="shared" si="4"/>
        <v>3</v>
      </c>
      <c r="L42" s="30">
        <f t="shared" si="4"/>
        <v>3</v>
      </c>
      <c r="M42" s="30">
        <f t="shared" si="4"/>
        <v>3</v>
      </c>
      <c r="N42" s="30">
        <f t="shared" si="4"/>
        <v>3</v>
      </c>
    </row>
    <row r="43" spans="2:14" ht="15" customHeight="1">
      <c r="B43" s="25" t="s">
        <v>3</v>
      </c>
      <c r="C43" s="30">
        <f t="shared" si="4"/>
        <v>3</v>
      </c>
      <c r="D43" s="30">
        <f t="shared" si="4"/>
        <v>3</v>
      </c>
      <c r="E43" s="30">
        <f t="shared" si="4"/>
        <v>3</v>
      </c>
      <c r="F43" s="30">
        <f t="shared" si="4"/>
        <v>3</v>
      </c>
      <c r="G43" s="30">
        <f t="shared" si="4"/>
        <v>3</v>
      </c>
      <c r="H43" s="30">
        <f t="shared" si="4"/>
        <v>3</v>
      </c>
      <c r="I43" s="30">
        <f t="shared" si="4"/>
        <v>3</v>
      </c>
      <c r="J43" s="30">
        <f t="shared" si="4"/>
        <v>3</v>
      </c>
      <c r="K43" s="30">
        <f t="shared" si="4"/>
        <v>3</v>
      </c>
      <c r="L43" s="30">
        <f t="shared" si="4"/>
        <v>3</v>
      </c>
      <c r="M43" s="30">
        <f t="shared" si="4"/>
        <v>3</v>
      </c>
      <c r="N43" s="30">
        <f t="shared" si="4"/>
        <v>3</v>
      </c>
    </row>
    <row r="44" spans="2:14" ht="15.75" customHeight="1">
      <c r="B44" s="24" t="s">
        <v>47</v>
      </c>
      <c r="C44" s="30">
        <f t="shared" si="5" ref="C44:N45">C38+C42</f>
        <v>7</v>
      </c>
      <c r="D44" s="30">
        <f t="shared" si="5"/>
        <v>7</v>
      </c>
      <c r="E44" s="30">
        <f t="shared" si="5"/>
        <v>7</v>
      </c>
      <c r="F44" s="30">
        <f t="shared" si="5"/>
        <v>7</v>
      </c>
      <c r="G44" s="30">
        <f t="shared" si="5"/>
        <v>7</v>
      </c>
      <c r="H44" s="30">
        <f t="shared" si="5"/>
        <v>7</v>
      </c>
      <c r="I44" s="30">
        <f t="shared" si="5"/>
        <v>7</v>
      </c>
      <c r="J44" s="30">
        <f t="shared" si="5"/>
        <v>7</v>
      </c>
      <c r="K44" s="30">
        <f t="shared" si="5"/>
        <v>7</v>
      </c>
      <c r="L44" s="30">
        <f t="shared" si="5"/>
        <v>7</v>
      </c>
      <c r="M44" s="30">
        <f t="shared" si="5"/>
        <v>7</v>
      </c>
      <c r="N44" s="30">
        <f t="shared" si="5"/>
        <v>7</v>
      </c>
    </row>
    <row r="45" spans="2:14" ht="15" customHeight="1">
      <c r="B45" s="25" t="s">
        <v>3</v>
      </c>
      <c r="C45" s="30">
        <f t="shared" si="5"/>
        <v>7</v>
      </c>
      <c r="D45" s="30">
        <f t="shared" si="5"/>
        <v>7</v>
      </c>
      <c r="E45" s="30">
        <f t="shared" si="5"/>
        <v>7</v>
      </c>
      <c r="F45" s="30">
        <f t="shared" si="5"/>
        <v>7</v>
      </c>
      <c r="G45" s="30">
        <f t="shared" si="5"/>
        <v>7</v>
      </c>
      <c r="H45" s="30">
        <f t="shared" si="5"/>
        <v>7</v>
      </c>
      <c r="I45" s="30">
        <f t="shared" si="5"/>
        <v>7</v>
      </c>
      <c r="J45" s="30">
        <f t="shared" si="5"/>
        <v>7</v>
      </c>
      <c r="K45" s="30">
        <f t="shared" si="5"/>
        <v>7</v>
      </c>
      <c r="L45" s="30">
        <f t="shared" si="5"/>
        <v>7</v>
      </c>
      <c r="M45" s="30">
        <f t="shared" si="5"/>
        <v>7</v>
      </c>
      <c r="N45" s="30">
        <f t="shared" si="5"/>
        <v>7</v>
      </c>
    </row>
  </sheetData>
  <pageMargins left="0.7" right="0.7" top="0.75" bottom="0.75" header="0.3" footer="0.3"/>
  <pageSetup orientation="portrait" paperSize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2C51C8-A728-ADD8-EEC8-AC46BC7E53F8}">
  <dimension ref="B2:N36"/>
  <sheetViews>
    <sheetView showGridLines="0" workbookViewId="0" topLeftCell="A1">
      <selection pane="topLeft" activeCell="C33" sqref="C33:N34"/>
    </sheetView>
  </sheetViews>
  <sheetFormatPr defaultColWidth="7.755" defaultRowHeight="15" customHeight="1"/>
  <cols>
    <col min="1" max="1" width="7.75" style="1"/>
    <col min="2" max="2" width="25" style="1" customWidth="1"/>
    <col min="3" max="14" width="9.375" style="1" customWidth="1"/>
    <col min="15" max="16" width="10.625" style="1" customWidth="1"/>
    <col min="17" max="17" width="8.75" style="1" customWidth="1"/>
    <col min="18" max="16384" width="7.75" style="1"/>
  </cols>
  <sheetData>
    <row r="2" spans="2:2" ht="18" customHeight="1">
      <c r="B2" s="21" t="s">
        <v>48</v>
      </c>
    </row>
    <row r="3" spans="2:2" ht="15" customHeight="1">
      <c r="B3" s="22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2" ht="15" customHeight="1">
      <c r="B5" s="24" t="s">
        <v>49</v>
      </c>
    </row>
    <row r="6" spans="2:14" ht="15.75" customHeight="1">
      <c r="B6" s="25" t="s">
        <v>26</v>
      </c>
      <c r="C6" s="65">
        <v>1</v>
      </c>
      <c r="D6" s="65">
        <v>1</v>
      </c>
      <c r="E6" s="65">
        <v>1</v>
      </c>
      <c r="F6" s="65">
        <v>1</v>
      </c>
      <c r="G6" s="65">
        <v>1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1</v>
      </c>
      <c r="N6" s="66">
        <v>1</v>
      </c>
    </row>
    <row r="7" spans="2:14" ht="15" customHeight="1">
      <c r="B7" s="28" t="s">
        <v>3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</row>
    <row r="8" spans="2:14" ht="15.75" customHeight="1">
      <c r="B8" s="25" t="s">
        <v>50</v>
      </c>
      <c r="C8" s="65">
        <v>1</v>
      </c>
      <c r="D8" s="65">
        <v>1</v>
      </c>
      <c r="E8" s="65">
        <v>1</v>
      </c>
      <c r="F8" s="65">
        <v>1</v>
      </c>
      <c r="G8" s="65">
        <v>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1</v>
      </c>
      <c r="N8" s="66">
        <v>1</v>
      </c>
    </row>
    <row r="9" spans="2:14" ht="15" customHeight="1">
      <c r="B9" s="28" t="s">
        <v>3</v>
      </c>
      <c r="C9" s="66">
        <v>1</v>
      </c>
      <c r="D9" s="66">
        <v>1</v>
      </c>
      <c r="E9" s="66">
        <v>1</v>
      </c>
      <c r="F9" s="66">
        <v>1</v>
      </c>
      <c r="G9" s="66">
        <v>1</v>
      </c>
      <c r="H9" s="66">
        <v>1</v>
      </c>
      <c r="I9" s="66">
        <v>1</v>
      </c>
      <c r="J9" s="66">
        <v>1</v>
      </c>
      <c r="K9" s="66">
        <v>1</v>
      </c>
      <c r="L9" s="66">
        <v>1</v>
      </c>
      <c r="M9" s="66">
        <v>1</v>
      </c>
      <c r="N9" s="66">
        <v>1</v>
      </c>
    </row>
    <row r="10" spans="2:14" ht="15.75" customHeight="1">
      <c r="B10" s="25" t="s">
        <v>51</v>
      </c>
      <c r="C10" s="65">
        <v>1</v>
      </c>
      <c r="D10" s="65">
        <v>1</v>
      </c>
      <c r="E10" s="65">
        <v>1</v>
      </c>
      <c r="F10" s="65">
        <v>1</v>
      </c>
      <c r="G10" s="65">
        <v>1</v>
      </c>
      <c r="H10" s="65">
        <v>1</v>
      </c>
      <c r="I10" s="65">
        <v>1</v>
      </c>
      <c r="J10" s="65">
        <v>1</v>
      </c>
      <c r="K10" s="65">
        <v>1</v>
      </c>
      <c r="L10" s="65">
        <v>1</v>
      </c>
      <c r="M10" s="65">
        <v>1</v>
      </c>
      <c r="N10" s="66">
        <v>1</v>
      </c>
    </row>
    <row r="11" spans="2:14" ht="15" customHeight="1">
      <c r="B11" s="28" t="s">
        <v>3</v>
      </c>
      <c r="C11" s="66">
        <v>1</v>
      </c>
      <c r="D11" s="66">
        <v>1</v>
      </c>
      <c r="E11" s="66">
        <v>1</v>
      </c>
      <c r="F11" s="66">
        <v>1</v>
      </c>
      <c r="G11" s="66">
        <v>1</v>
      </c>
      <c r="H11" s="66">
        <v>1</v>
      </c>
      <c r="I11" s="66">
        <v>1</v>
      </c>
      <c r="J11" s="66">
        <v>1</v>
      </c>
      <c r="K11" s="66">
        <v>1</v>
      </c>
      <c r="L11" s="66">
        <v>1</v>
      </c>
      <c r="M11" s="66">
        <v>1</v>
      </c>
      <c r="N11" s="66">
        <v>1</v>
      </c>
    </row>
    <row r="12" spans="2:14" ht="15.75" customHeight="1">
      <c r="B12" s="24" t="s">
        <v>52</v>
      </c>
      <c r="C12" s="30">
        <f t="shared" si="0" ref="C12:N13">SUM(C6,C8,C10)</f>
        <v>3</v>
      </c>
      <c r="D12" s="30">
        <f t="shared" si="0"/>
        <v>3</v>
      </c>
      <c r="E12" s="30">
        <f t="shared" si="0"/>
        <v>3</v>
      </c>
      <c r="F12" s="30">
        <f t="shared" si="0"/>
        <v>3</v>
      </c>
      <c r="G12" s="30">
        <f t="shared" si="0"/>
        <v>3</v>
      </c>
      <c r="H12" s="30">
        <f t="shared" si="0"/>
        <v>3</v>
      </c>
      <c r="I12" s="30">
        <f t="shared" si="0"/>
        <v>3</v>
      </c>
      <c r="J12" s="30">
        <f t="shared" si="0"/>
        <v>3</v>
      </c>
      <c r="K12" s="30">
        <f t="shared" si="0"/>
        <v>3</v>
      </c>
      <c r="L12" s="30">
        <f t="shared" si="0"/>
        <v>3</v>
      </c>
      <c r="M12" s="30">
        <f t="shared" si="0"/>
        <v>3</v>
      </c>
      <c r="N12" s="30">
        <f t="shared" si="0"/>
        <v>3</v>
      </c>
    </row>
    <row r="13" spans="2:14" ht="15" customHeight="1">
      <c r="B13" s="25" t="s">
        <v>3</v>
      </c>
      <c r="C13" s="30">
        <f t="shared" si="0"/>
        <v>3</v>
      </c>
      <c r="D13" s="30">
        <f t="shared" si="0"/>
        <v>3</v>
      </c>
      <c r="E13" s="30">
        <f t="shared" si="0"/>
        <v>3</v>
      </c>
      <c r="F13" s="30">
        <f t="shared" si="0"/>
        <v>3</v>
      </c>
      <c r="G13" s="30">
        <f t="shared" si="0"/>
        <v>3</v>
      </c>
      <c r="H13" s="30">
        <f t="shared" si="0"/>
        <v>3</v>
      </c>
      <c r="I13" s="30">
        <f t="shared" si="0"/>
        <v>3</v>
      </c>
      <c r="J13" s="30">
        <f t="shared" si="0"/>
        <v>3</v>
      </c>
      <c r="K13" s="30">
        <f t="shared" si="0"/>
        <v>3</v>
      </c>
      <c r="L13" s="30">
        <f t="shared" si="0"/>
        <v>3</v>
      </c>
      <c r="M13" s="30">
        <f t="shared" si="0"/>
        <v>3</v>
      </c>
      <c r="N13" s="30">
        <f t="shared" si="0"/>
        <v>3</v>
      </c>
    </row>
    <row r="14" spans="2:2" ht="15" customHeight="1">
      <c r="B14" s="25"/>
    </row>
    <row r="15" spans="2:2" ht="15" customHeight="1">
      <c r="B15" s="24" t="s">
        <v>53</v>
      </c>
    </row>
    <row r="16" spans="2:14" ht="15.75" customHeight="1">
      <c r="B16" s="25" t="s">
        <v>54</v>
      </c>
      <c r="C16" s="65">
        <v>1</v>
      </c>
      <c r="D16" s="65">
        <v>1</v>
      </c>
      <c r="E16" s="65">
        <v>1</v>
      </c>
      <c r="F16" s="65">
        <v>1</v>
      </c>
      <c r="G16" s="65">
        <v>1</v>
      </c>
      <c r="H16" s="65">
        <v>1</v>
      </c>
      <c r="I16" s="65">
        <v>1</v>
      </c>
      <c r="J16" s="65">
        <v>1</v>
      </c>
      <c r="K16" s="65">
        <v>1</v>
      </c>
      <c r="L16" s="65">
        <v>1</v>
      </c>
      <c r="M16" s="65">
        <v>1</v>
      </c>
      <c r="N16" s="66">
        <v>1</v>
      </c>
    </row>
    <row r="17" spans="2:14" ht="15" customHeight="1">
      <c r="B17" s="28" t="s">
        <v>3</v>
      </c>
      <c r="C17" s="66">
        <v>1</v>
      </c>
      <c r="D17" s="66">
        <v>1</v>
      </c>
      <c r="E17" s="66">
        <v>1</v>
      </c>
      <c r="F17" s="66">
        <v>1</v>
      </c>
      <c r="G17" s="66">
        <v>1</v>
      </c>
      <c r="H17" s="66">
        <v>1</v>
      </c>
      <c r="I17" s="66">
        <v>1</v>
      </c>
      <c r="J17" s="66">
        <v>1</v>
      </c>
      <c r="K17" s="66">
        <v>1</v>
      </c>
      <c r="L17" s="66">
        <v>1</v>
      </c>
      <c r="M17" s="66">
        <v>1</v>
      </c>
      <c r="N17" s="66">
        <v>1</v>
      </c>
    </row>
    <row r="18" spans="2:14" ht="15" customHeight="1">
      <c r="B18" s="25" t="s">
        <v>55</v>
      </c>
      <c r="C18" s="67">
        <v>1</v>
      </c>
      <c r="D18" s="67">
        <v>1</v>
      </c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67">
        <v>1</v>
      </c>
      <c r="L18" s="67">
        <v>1</v>
      </c>
      <c r="M18" s="67">
        <v>1</v>
      </c>
      <c r="N18" s="66">
        <v>1</v>
      </c>
    </row>
    <row r="19" spans="2:14" ht="15" customHeight="1">
      <c r="B19" s="28" t="s">
        <v>3</v>
      </c>
      <c r="C19" s="66">
        <v>1</v>
      </c>
      <c r="D19" s="66">
        <v>1</v>
      </c>
      <c r="E19" s="66">
        <v>1</v>
      </c>
      <c r="F19" s="66">
        <v>1</v>
      </c>
      <c r="G19" s="66">
        <v>1</v>
      </c>
      <c r="H19" s="66">
        <v>1</v>
      </c>
      <c r="I19" s="66">
        <v>1</v>
      </c>
      <c r="J19" s="66">
        <v>1</v>
      </c>
      <c r="K19" s="66">
        <v>1</v>
      </c>
      <c r="L19" s="66">
        <v>1</v>
      </c>
      <c r="M19" s="66">
        <v>1</v>
      </c>
      <c r="N19" s="66">
        <v>1</v>
      </c>
    </row>
    <row r="20" spans="2:14" ht="15.75" customHeight="1">
      <c r="B20" s="24" t="s">
        <v>56</v>
      </c>
      <c r="C20" s="68">
        <f t="shared" si="1" ref="C20:N29">SUM(C16,C18)</f>
        <v>2</v>
      </c>
      <c r="D20" s="68">
        <f t="shared" si="1"/>
        <v>2</v>
      </c>
      <c r="E20" s="68">
        <f t="shared" si="1"/>
        <v>2</v>
      </c>
      <c r="F20" s="68">
        <f t="shared" si="1"/>
        <v>2</v>
      </c>
      <c r="G20" s="68">
        <f t="shared" si="1"/>
        <v>2</v>
      </c>
      <c r="H20" s="68">
        <f t="shared" si="1"/>
        <v>2</v>
      </c>
      <c r="I20" s="68">
        <f t="shared" si="1"/>
        <v>2</v>
      </c>
      <c r="J20" s="68">
        <f t="shared" si="1"/>
        <v>2</v>
      </c>
      <c r="K20" s="68">
        <f t="shared" si="1"/>
        <v>2</v>
      </c>
      <c r="L20" s="68">
        <f t="shared" si="1"/>
        <v>2</v>
      </c>
      <c r="M20" s="68">
        <f t="shared" si="1"/>
        <v>2</v>
      </c>
      <c r="N20" s="68">
        <f t="shared" si="1"/>
        <v>2</v>
      </c>
    </row>
    <row r="21" spans="2:14" ht="15" customHeight="1">
      <c r="B21" s="25" t="s">
        <v>3</v>
      </c>
      <c r="C21" s="68">
        <f t="shared" si="1"/>
        <v>2</v>
      </c>
      <c r="D21" s="68">
        <f t="shared" si="1"/>
        <v>2</v>
      </c>
      <c r="E21" s="68">
        <f t="shared" si="1"/>
        <v>2</v>
      </c>
      <c r="F21" s="68">
        <f t="shared" si="1"/>
        <v>2</v>
      </c>
      <c r="G21" s="68">
        <f t="shared" si="1"/>
        <v>2</v>
      </c>
      <c r="H21" s="68">
        <f t="shared" si="1"/>
        <v>2</v>
      </c>
      <c r="I21" s="68">
        <f t="shared" si="1"/>
        <v>2</v>
      </c>
      <c r="J21" s="68">
        <f t="shared" si="1"/>
        <v>2</v>
      </c>
      <c r="K21" s="68">
        <f t="shared" si="1"/>
        <v>2</v>
      </c>
      <c r="L21" s="68">
        <f t="shared" si="1"/>
        <v>2</v>
      </c>
      <c r="M21" s="68">
        <f t="shared" si="1"/>
        <v>2</v>
      </c>
      <c r="N21" s="68">
        <f t="shared" si="1"/>
        <v>2</v>
      </c>
    </row>
    <row r="22" spans="2:2" ht="15" customHeight="1">
      <c r="B22" s="25"/>
    </row>
    <row r="23" spans="2:2" ht="15" customHeight="1">
      <c r="B23" s="24" t="s">
        <v>57</v>
      </c>
    </row>
    <row r="24" spans="2:14" ht="15.75" customHeight="1">
      <c r="B24" s="25" t="s">
        <v>58</v>
      </c>
      <c r="C24" s="65">
        <v>1</v>
      </c>
      <c r="D24" s="65">
        <v>1</v>
      </c>
      <c r="E24" s="65">
        <v>1</v>
      </c>
      <c r="F24" s="65">
        <v>1</v>
      </c>
      <c r="G24" s="65">
        <v>1</v>
      </c>
      <c r="H24" s="65">
        <v>1</v>
      </c>
      <c r="I24" s="65">
        <v>1</v>
      </c>
      <c r="J24" s="65">
        <v>1</v>
      </c>
      <c r="K24" s="65">
        <v>1</v>
      </c>
      <c r="L24" s="65">
        <v>1</v>
      </c>
      <c r="M24" s="65">
        <v>1</v>
      </c>
      <c r="N24" s="66">
        <v>1</v>
      </c>
    </row>
    <row r="25" spans="2:14" ht="15" customHeight="1">
      <c r="B25" s="28" t="s">
        <v>3</v>
      </c>
      <c r="C25" s="66">
        <v>1</v>
      </c>
      <c r="D25" s="66">
        <v>1</v>
      </c>
      <c r="E25" s="66">
        <v>1</v>
      </c>
      <c r="F25" s="66">
        <v>1</v>
      </c>
      <c r="G25" s="66">
        <v>1</v>
      </c>
      <c r="H25" s="66">
        <v>1</v>
      </c>
      <c r="I25" s="66">
        <v>1</v>
      </c>
      <c r="J25" s="66">
        <v>1</v>
      </c>
      <c r="K25" s="66">
        <v>1</v>
      </c>
      <c r="L25" s="66">
        <v>1</v>
      </c>
      <c r="M25" s="66">
        <v>1</v>
      </c>
      <c r="N25" s="66">
        <v>1</v>
      </c>
    </row>
    <row r="26" spans="2:14" ht="15.75" customHeight="1">
      <c r="B26" s="25" t="s">
        <v>59</v>
      </c>
      <c r="C26" s="67">
        <v>1</v>
      </c>
      <c r="D26" s="67">
        <v>1</v>
      </c>
      <c r="E26" s="67">
        <v>1</v>
      </c>
      <c r="F26" s="65">
        <v>1</v>
      </c>
      <c r="G26" s="67">
        <v>1</v>
      </c>
      <c r="H26" s="67">
        <v>1</v>
      </c>
      <c r="I26" s="65">
        <v>1</v>
      </c>
      <c r="J26" s="67">
        <v>1</v>
      </c>
      <c r="K26" s="67">
        <v>1</v>
      </c>
      <c r="L26" s="65">
        <v>1</v>
      </c>
      <c r="M26" s="67">
        <v>1</v>
      </c>
      <c r="N26" s="66">
        <v>1</v>
      </c>
    </row>
    <row r="27" spans="2:14" ht="15" customHeight="1">
      <c r="B27" s="28" t="s">
        <v>3</v>
      </c>
      <c r="C27" s="66">
        <v>1</v>
      </c>
      <c r="D27" s="66">
        <v>1</v>
      </c>
      <c r="E27" s="66">
        <v>1</v>
      </c>
      <c r="F27" s="66">
        <v>1</v>
      </c>
      <c r="G27" s="66">
        <v>1</v>
      </c>
      <c r="H27" s="66">
        <v>1</v>
      </c>
      <c r="I27" s="66">
        <v>1</v>
      </c>
      <c r="J27" s="66">
        <v>1</v>
      </c>
      <c r="K27" s="66">
        <v>1</v>
      </c>
      <c r="L27" s="66">
        <v>1</v>
      </c>
      <c r="M27" s="66">
        <v>1</v>
      </c>
      <c r="N27" s="66">
        <v>1</v>
      </c>
    </row>
    <row r="28" spans="2:14" ht="15.75" customHeight="1">
      <c r="B28" s="24" t="s">
        <v>60</v>
      </c>
      <c r="C28" s="68">
        <f t="shared" si="1"/>
        <v>2</v>
      </c>
      <c r="D28" s="68">
        <f t="shared" si="1"/>
        <v>2</v>
      </c>
      <c r="E28" s="68">
        <f t="shared" si="1"/>
        <v>2</v>
      </c>
      <c r="F28" s="68">
        <f t="shared" si="1"/>
        <v>2</v>
      </c>
      <c r="G28" s="68">
        <f t="shared" si="1"/>
        <v>2</v>
      </c>
      <c r="H28" s="68">
        <f t="shared" si="1"/>
        <v>2</v>
      </c>
      <c r="I28" s="68">
        <f t="shared" si="1"/>
        <v>2</v>
      </c>
      <c r="J28" s="68">
        <f t="shared" si="1"/>
        <v>2</v>
      </c>
      <c r="K28" s="68">
        <f t="shared" si="1"/>
        <v>2</v>
      </c>
      <c r="L28" s="68">
        <f t="shared" si="1"/>
        <v>2</v>
      </c>
      <c r="M28" s="68">
        <f t="shared" si="1"/>
        <v>2</v>
      </c>
      <c r="N28" s="68">
        <f t="shared" si="1"/>
        <v>2</v>
      </c>
    </row>
    <row r="29" spans="2:14" ht="15" customHeight="1">
      <c r="B29" s="25" t="s">
        <v>3</v>
      </c>
      <c r="C29" s="68">
        <f t="shared" si="1"/>
        <v>2</v>
      </c>
      <c r="D29" s="68">
        <f t="shared" si="1"/>
        <v>2</v>
      </c>
      <c r="E29" s="68">
        <f t="shared" si="1"/>
        <v>2</v>
      </c>
      <c r="F29" s="68">
        <f t="shared" si="1"/>
        <v>2</v>
      </c>
      <c r="G29" s="68">
        <f t="shared" si="1"/>
        <v>2</v>
      </c>
      <c r="H29" s="68">
        <f t="shared" si="1"/>
        <v>2</v>
      </c>
      <c r="I29" s="68">
        <f t="shared" si="1"/>
        <v>2</v>
      </c>
      <c r="J29" s="68">
        <f t="shared" si="1"/>
        <v>2</v>
      </c>
      <c r="K29" s="68">
        <f t="shared" si="1"/>
        <v>2</v>
      </c>
      <c r="L29" s="68">
        <f t="shared" si="1"/>
        <v>2</v>
      </c>
      <c r="M29" s="68">
        <f t="shared" si="1"/>
        <v>2</v>
      </c>
      <c r="N29" s="68">
        <f t="shared" si="1"/>
        <v>2</v>
      </c>
    </row>
    <row r="30" spans="2:2" ht="15" customHeight="1">
      <c r="B30" s="25"/>
    </row>
    <row r="31" spans="2:14" ht="15.75" customHeight="1">
      <c r="B31" s="24" t="s">
        <v>61</v>
      </c>
      <c r="C31" s="30">
        <f t="shared" si="2" ref="C31:N32">C12+C20+C28</f>
        <v>7</v>
      </c>
      <c r="D31" s="30">
        <f t="shared" si="2"/>
        <v>7</v>
      </c>
      <c r="E31" s="30">
        <f t="shared" si="2"/>
        <v>7</v>
      </c>
      <c r="F31" s="30">
        <f t="shared" si="2"/>
        <v>7</v>
      </c>
      <c r="G31" s="30">
        <f t="shared" si="2"/>
        <v>7</v>
      </c>
      <c r="H31" s="30">
        <f t="shared" si="2"/>
        <v>7</v>
      </c>
      <c r="I31" s="30">
        <f t="shared" si="2"/>
        <v>7</v>
      </c>
      <c r="J31" s="30">
        <f t="shared" si="2"/>
        <v>7</v>
      </c>
      <c r="K31" s="30">
        <f t="shared" si="2"/>
        <v>7</v>
      </c>
      <c r="L31" s="30">
        <f t="shared" si="2"/>
        <v>7</v>
      </c>
      <c r="M31" s="30">
        <f t="shared" si="2"/>
        <v>7</v>
      </c>
      <c r="N31" s="30">
        <f t="shared" si="2"/>
        <v>7</v>
      </c>
    </row>
    <row r="32" spans="2:14" ht="15" customHeight="1">
      <c r="B32" s="25" t="s">
        <v>3</v>
      </c>
      <c r="C32" s="30">
        <f t="shared" si="2"/>
        <v>7</v>
      </c>
      <c r="D32" s="30">
        <f t="shared" si="2"/>
        <v>7</v>
      </c>
      <c r="E32" s="30">
        <f t="shared" si="2"/>
        <v>7</v>
      </c>
      <c r="F32" s="30">
        <f t="shared" si="2"/>
        <v>7</v>
      </c>
      <c r="G32" s="30">
        <f t="shared" si="2"/>
        <v>7</v>
      </c>
      <c r="H32" s="30">
        <f t="shared" si="2"/>
        <v>7</v>
      </c>
      <c r="I32" s="30">
        <f t="shared" si="2"/>
        <v>7</v>
      </c>
      <c r="J32" s="30">
        <f t="shared" si="2"/>
        <v>7</v>
      </c>
      <c r="K32" s="30">
        <f t="shared" si="2"/>
        <v>7</v>
      </c>
      <c r="L32" s="30">
        <f t="shared" si="2"/>
        <v>7</v>
      </c>
      <c r="M32" s="30">
        <f t="shared" si="2"/>
        <v>7</v>
      </c>
      <c r="N32" s="30">
        <f t="shared" si="2"/>
        <v>7</v>
      </c>
    </row>
    <row r="33" spans="2:14" ht="15.75" customHeight="1">
      <c r="B33" s="25" t="s">
        <v>62</v>
      </c>
      <c r="C33" s="65">
        <v>1</v>
      </c>
      <c r="D33" s="65">
        <v>1</v>
      </c>
      <c r="E33" s="65">
        <v>1</v>
      </c>
      <c r="F33" s="65">
        <v>1</v>
      </c>
      <c r="G33" s="65">
        <v>1</v>
      </c>
      <c r="H33" s="65">
        <v>1</v>
      </c>
      <c r="I33" s="65">
        <v>1</v>
      </c>
      <c r="J33" s="65">
        <v>1</v>
      </c>
      <c r="K33" s="65">
        <v>1</v>
      </c>
      <c r="L33" s="65">
        <v>1</v>
      </c>
      <c r="M33" s="65">
        <v>1</v>
      </c>
      <c r="N33" s="66">
        <v>1</v>
      </c>
    </row>
    <row r="34" spans="2:14" ht="15" customHeight="1">
      <c r="B34" s="28" t="s">
        <v>3</v>
      </c>
      <c r="C34" s="66">
        <v>1</v>
      </c>
      <c r="D34" s="66">
        <v>1</v>
      </c>
      <c r="E34" s="66">
        <v>1</v>
      </c>
      <c r="F34" s="66">
        <v>1</v>
      </c>
      <c r="G34" s="66">
        <v>1</v>
      </c>
      <c r="H34" s="66">
        <v>1</v>
      </c>
      <c r="I34" s="66">
        <v>1</v>
      </c>
      <c r="J34" s="66">
        <v>1</v>
      </c>
      <c r="K34" s="66">
        <v>1</v>
      </c>
      <c r="L34" s="66">
        <v>1</v>
      </c>
      <c r="M34" s="66">
        <v>1</v>
      </c>
      <c r="N34" s="66">
        <v>1</v>
      </c>
    </row>
    <row r="35" spans="2:14" ht="15.75" customHeight="1">
      <c r="B35" s="24" t="s">
        <v>63</v>
      </c>
      <c r="C35" s="30">
        <f t="shared" si="3" ref="C35:N36">C33+C31</f>
        <v>8</v>
      </c>
      <c r="D35" s="30">
        <f t="shared" si="3"/>
        <v>8</v>
      </c>
      <c r="E35" s="30">
        <f t="shared" si="3"/>
        <v>8</v>
      </c>
      <c r="F35" s="30">
        <f t="shared" si="3"/>
        <v>8</v>
      </c>
      <c r="G35" s="30">
        <f t="shared" si="3"/>
        <v>8</v>
      </c>
      <c r="H35" s="30">
        <f t="shared" si="3"/>
        <v>8</v>
      </c>
      <c r="I35" s="30">
        <f t="shared" si="3"/>
        <v>8</v>
      </c>
      <c r="J35" s="30">
        <f t="shared" si="3"/>
        <v>8</v>
      </c>
      <c r="K35" s="30">
        <f t="shared" si="3"/>
        <v>8</v>
      </c>
      <c r="L35" s="30">
        <f t="shared" si="3"/>
        <v>8</v>
      </c>
      <c r="M35" s="30">
        <f t="shared" si="3"/>
        <v>8</v>
      </c>
      <c r="N35" s="30">
        <f t="shared" si="3"/>
        <v>8</v>
      </c>
    </row>
    <row r="36" spans="2:14" ht="15" customHeight="1">
      <c r="B36" s="25" t="s">
        <v>3</v>
      </c>
      <c r="C36" s="30">
        <f t="shared" si="3"/>
        <v>8</v>
      </c>
      <c r="D36" s="30">
        <f t="shared" si="3"/>
        <v>8</v>
      </c>
      <c r="E36" s="30">
        <f t="shared" si="3"/>
        <v>8</v>
      </c>
      <c r="F36" s="30">
        <f t="shared" si="3"/>
        <v>8</v>
      </c>
      <c r="G36" s="30">
        <f t="shared" si="3"/>
        <v>8</v>
      </c>
      <c r="H36" s="30">
        <f t="shared" si="3"/>
        <v>8</v>
      </c>
      <c r="I36" s="30">
        <f t="shared" si="3"/>
        <v>8</v>
      </c>
      <c r="J36" s="30">
        <f t="shared" si="3"/>
        <v>8</v>
      </c>
      <c r="K36" s="30">
        <f t="shared" si="3"/>
        <v>8</v>
      </c>
      <c r="L36" s="30">
        <f t="shared" si="3"/>
        <v>8</v>
      </c>
      <c r="M36" s="30">
        <f t="shared" si="3"/>
        <v>8</v>
      </c>
      <c r="N36" s="30">
        <f t="shared" si="3"/>
        <v>8</v>
      </c>
    </row>
  </sheetData>
  <pageMargins left="0.7" right="0.7" top="0.75" bottom="0.75" header="0.3" footer="0.3"/>
  <pageSetup orientation="portrait" paperSize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7C9988-91E3-6278-2618-4D1CCAC40F38}">
  <dimension ref="B2:N25"/>
  <sheetViews>
    <sheetView showGridLines="0" workbookViewId="0" topLeftCell="A1">
      <selection pane="topLeft" activeCell="C22" sqref="C22:N25"/>
    </sheetView>
  </sheetViews>
  <sheetFormatPr defaultColWidth="7.755" defaultRowHeight="15" customHeight="1"/>
  <cols>
    <col min="1" max="1" width="7.75" style="1"/>
    <col min="2" max="2" width="27.5" style="1" customWidth="1"/>
    <col min="3" max="14" width="10" style="1" customWidth="1"/>
    <col min="15" max="16384" width="7.75" style="1"/>
  </cols>
  <sheetData>
    <row r="2" spans="2:2" ht="18" customHeight="1">
      <c r="B2" s="21" t="s">
        <v>64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65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69">
        <v>2</v>
      </c>
      <c r="C6" s="70">
        <v>1</v>
      </c>
      <c r="D6" s="70">
        <v>1</v>
      </c>
      <c r="E6" s="70">
        <v>1</v>
      </c>
      <c r="F6" s="70">
        <v>1</v>
      </c>
      <c r="G6" s="70">
        <v>1</v>
      </c>
      <c r="H6" s="70">
        <v>1</v>
      </c>
      <c r="I6" s="70">
        <v>1</v>
      </c>
      <c r="J6" s="70">
        <v>1</v>
      </c>
      <c r="K6" s="70">
        <v>1</v>
      </c>
      <c r="L6" s="70">
        <v>1</v>
      </c>
      <c r="M6" s="70">
        <v>1</v>
      </c>
      <c r="N6" s="70">
        <v>1</v>
      </c>
    </row>
    <row r="7" spans="2:14" ht="15.75" customHeight="1">
      <c r="B7" s="69">
        <v>2</v>
      </c>
      <c r="C7" s="70">
        <v>1</v>
      </c>
      <c r="D7" s="70">
        <v>1</v>
      </c>
      <c r="E7" s="70">
        <v>1</v>
      </c>
      <c r="F7" s="70">
        <v>1</v>
      </c>
      <c r="G7" s="70">
        <v>1</v>
      </c>
      <c r="H7" s="70">
        <v>1</v>
      </c>
      <c r="I7" s="70">
        <v>1</v>
      </c>
      <c r="J7" s="70">
        <v>1</v>
      </c>
      <c r="K7" s="70">
        <v>1</v>
      </c>
      <c r="L7" s="70">
        <v>1</v>
      </c>
      <c r="M7" s="70">
        <v>1</v>
      </c>
      <c r="N7" s="70">
        <v>1</v>
      </c>
    </row>
    <row r="8" spans="2:14" ht="15.75" customHeight="1">
      <c r="B8" s="69">
        <v>2</v>
      </c>
      <c r="C8" s="70">
        <v>1</v>
      </c>
      <c r="D8" s="70">
        <v>1</v>
      </c>
      <c r="E8" s="70">
        <v>1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1</v>
      </c>
      <c r="L8" s="70">
        <v>1</v>
      </c>
      <c r="M8" s="70">
        <v>1</v>
      </c>
      <c r="N8" s="70">
        <v>1</v>
      </c>
    </row>
    <row r="9" spans="2:14" ht="15.75" customHeight="1">
      <c r="B9" s="69">
        <v>2</v>
      </c>
      <c r="C9" s="70">
        <v>1</v>
      </c>
      <c r="D9" s="70">
        <v>1</v>
      </c>
      <c r="E9" s="70">
        <v>1</v>
      </c>
      <c r="F9" s="70">
        <v>1</v>
      </c>
      <c r="G9" s="70">
        <v>1</v>
      </c>
      <c r="H9" s="70">
        <v>1</v>
      </c>
      <c r="I9" s="70">
        <v>1</v>
      </c>
      <c r="J9" s="70">
        <v>1</v>
      </c>
      <c r="K9" s="70">
        <v>1</v>
      </c>
      <c r="L9" s="70">
        <v>1</v>
      </c>
      <c r="M9" s="70">
        <v>1</v>
      </c>
      <c r="N9" s="70">
        <v>1</v>
      </c>
    </row>
    <row r="10" spans="2:14" ht="15.75" customHeight="1">
      <c r="B10" s="69">
        <v>2</v>
      </c>
      <c r="C10" s="70">
        <v>1</v>
      </c>
      <c r="D10" s="70">
        <v>1</v>
      </c>
      <c r="E10" s="70">
        <v>1</v>
      </c>
      <c r="F10" s="70">
        <v>1</v>
      </c>
      <c r="G10" s="70">
        <v>1</v>
      </c>
      <c r="H10" s="70">
        <v>1</v>
      </c>
      <c r="I10" s="70">
        <v>1</v>
      </c>
      <c r="J10" s="70">
        <v>1</v>
      </c>
      <c r="K10" s="70">
        <v>1</v>
      </c>
      <c r="L10" s="70">
        <v>1</v>
      </c>
      <c r="M10" s="70">
        <v>1</v>
      </c>
      <c r="N10" s="70">
        <v>1</v>
      </c>
    </row>
    <row r="11" spans="2:14" ht="15" customHeight="1">
      <c r="B11" s="36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7"/>
    </row>
    <row r="12" spans="2:14" ht="15" customHeight="1">
      <c r="B12" s="34" t="s">
        <v>71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.75" customHeight="1">
      <c r="B13" s="69">
        <v>2</v>
      </c>
      <c r="C13" s="71">
        <v>1</v>
      </c>
      <c r="D13" s="71">
        <v>1</v>
      </c>
      <c r="E13" s="71">
        <v>1</v>
      </c>
      <c r="F13" s="71">
        <v>1</v>
      </c>
      <c r="G13" s="71">
        <v>1</v>
      </c>
      <c r="H13" s="71">
        <v>1</v>
      </c>
      <c r="I13" s="71">
        <v>1</v>
      </c>
      <c r="J13" s="71">
        <v>1</v>
      </c>
      <c r="K13" s="71">
        <v>1</v>
      </c>
      <c r="L13" s="71">
        <v>1</v>
      </c>
      <c r="M13" s="71">
        <v>1</v>
      </c>
      <c r="N13" s="71">
        <v>1</v>
      </c>
    </row>
    <row r="14" spans="2:14" ht="15.75" customHeight="1">
      <c r="B14" s="69">
        <v>2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1</v>
      </c>
      <c r="L14" s="71">
        <v>1</v>
      </c>
      <c r="M14" s="71">
        <v>1</v>
      </c>
      <c r="N14" s="71">
        <v>1</v>
      </c>
    </row>
    <row r="15" spans="2:14" ht="15.75" customHeight="1">
      <c r="B15" s="69">
        <v>2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1</v>
      </c>
      <c r="L15" s="71">
        <v>1</v>
      </c>
      <c r="M15" s="71">
        <v>1</v>
      </c>
      <c r="N15" s="71">
        <v>1</v>
      </c>
    </row>
    <row r="16" spans="2:14" ht="15.75" customHeight="1">
      <c r="B16" s="69">
        <v>2</v>
      </c>
      <c r="C16" s="71">
        <v>1</v>
      </c>
      <c r="D16" s="71">
        <v>1</v>
      </c>
      <c r="E16" s="71">
        <v>1</v>
      </c>
      <c r="F16" s="71">
        <v>1</v>
      </c>
      <c r="G16" s="71">
        <v>1</v>
      </c>
      <c r="H16" s="71">
        <v>1</v>
      </c>
      <c r="I16" s="71">
        <v>1</v>
      </c>
      <c r="J16" s="71">
        <v>1</v>
      </c>
      <c r="K16" s="71">
        <v>1</v>
      </c>
      <c r="L16" s="71">
        <v>1</v>
      </c>
      <c r="M16" s="71">
        <v>1</v>
      </c>
      <c r="N16" s="71">
        <v>1</v>
      </c>
    </row>
    <row r="17" spans="2:14" ht="15.75" customHeight="1">
      <c r="B17" s="69">
        <v>2</v>
      </c>
      <c r="C17" s="71">
        <v>1</v>
      </c>
      <c r="D17" s="71">
        <v>1</v>
      </c>
      <c r="E17" s="71">
        <v>1</v>
      </c>
      <c r="F17" s="71">
        <v>1</v>
      </c>
      <c r="G17" s="71">
        <v>1</v>
      </c>
      <c r="H17" s="71">
        <v>1</v>
      </c>
      <c r="I17" s="71">
        <v>1</v>
      </c>
      <c r="J17" s="71">
        <v>1</v>
      </c>
      <c r="K17" s="71">
        <v>1</v>
      </c>
      <c r="L17" s="71">
        <v>1</v>
      </c>
      <c r="M17" s="71">
        <v>1</v>
      </c>
      <c r="N17" s="71">
        <v>1</v>
      </c>
    </row>
    <row r="18" spans="2:14" ht="15.75" customHeight="1">
      <c r="B18" s="69">
        <v>2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1</v>
      </c>
      <c r="L18" s="71">
        <v>1</v>
      </c>
      <c r="M18" s="71">
        <v>1</v>
      </c>
      <c r="N18" s="71">
        <v>1</v>
      </c>
    </row>
    <row r="19" spans="2:14" ht="15.75" customHeight="1">
      <c r="B19" s="69">
        <v>2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1</v>
      </c>
      <c r="L19" s="71">
        <v>1</v>
      </c>
      <c r="M19" s="71">
        <v>1</v>
      </c>
      <c r="N19" s="71">
        <v>1</v>
      </c>
    </row>
    <row r="20" spans="2:14" ht="15" customHeight="1"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7"/>
    </row>
    <row r="21" spans="2:14" ht="15" customHeight="1">
      <c r="B21" s="34" t="s">
        <v>79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7"/>
    </row>
    <row r="22" spans="2:14" ht="15.75" customHeight="1">
      <c r="B22" s="69">
        <v>2</v>
      </c>
      <c r="C22" s="71">
        <v>1</v>
      </c>
      <c r="D22" s="71">
        <v>1</v>
      </c>
      <c r="E22" s="71">
        <v>1</v>
      </c>
      <c r="F22" s="71">
        <v>1</v>
      </c>
      <c r="G22" s="71">
        <v>1</v>
      </c>
      <c r="H22" s="71">
        <v>1</v>
      </c>
      <c r="I22" s="71">
        <v>1</v>
      </c>
      <c r="J22" s="71">
        <v>1</v>
      </c>
      <c r="K22" s="71">
        <v>1</v>
      </c>
      <c r="L22" s="71">
        <v>1</v>
      </c>
      <c r="M22" s="71">
        <v>1</v>
      </c>
      <c r="N22" s="71">
        <v>1</v>
      </c>
    </row>
    <row r="23" spans="2:14" ht="15.75" customHeight="1">
      <c r="B23" s="69">
        <v>2</v>
      </c>
      <c r="C23" s="71">
        <v>1</v>
      </c>
      <c r="D23" s="71">
        <v>1</v>
      </c>
      <c r="E23" s="71">
        <v>1</v>
      </c>
      <c r="F23" s="71">
        <v>1</v>
      </c>
      <c r="G23" s="71">
        <v>1</v>
      </c>
      <c r="H23" s="71">
        <v>1</v>
      </c>
      <c r="I23" s="71">
        <v>1</v>
      </c>
      <c r="J23" s="71">
        <v>1</v>
      </c>
      <c r="K23" s="71">
        <v>1</v>
      </c>
      <c r="L23" s="71">
        <v>1</v>
      </c>
      <c r="M23" s="71">
        <v>1</v>
      </c>
      <c r="N23" s="71">
        <v>1</v>
      </c>
    </row>
    <row r="24" spans="2:14" ht="15.75" customHeight="1">
      <c r="B24" s="69">
        <v>2</v>
      </c>
      <c r="C24" s="71">
        <v>1</v>
      </c>
      <c r="D24" s="71">
        <v>1</v>
      </c>
      <c r="E24" s="71">
        <v>1</v>
      </c>
      <c r="F24" s="71">
        <v>1</v>
      </c>
      <c r="G24" s="71">
        <v>1</v>
      </c>
      <c r="H24" s="71">
        <v>1</v>
      </c>
      <c r="I24" s="71">
        <v>1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</row>
    <row r="25" spans="2:14" ht="15.75" customHeight="1">
      <c r="B25" s="69">
        <v>2</v>
      </c>
      <c r="C25" s="72">
        <v>1</v>
      </c>
      <c r="D25" s="72">
        <v>1</v>
      </c>
      <c r="E25" s="72">
        <v>1</v>
      </c>
      <c r="F25" s="72">
        <v>1</v>
      </c>
      <c r="G25" s="72">
        <v>1</v>
      </c>
      <c r="H25" s="72">
        <v>1</v>
      </c>
      <c r="I25" s="72">
        <v>1</v>
      </c>
      <c r="J25" s="72">
        <v>1</v>
      </c>
      <c r="K25" s="72">
        <v>1</v>
      </c>
      <c r="L25" s="72">
        <v>1</v>
      </c>
      <c r="M25" s="72">
        <v>1</v>
      </c>
      <c r="N25" s="73">
        <v>1</v>
      </c>
    </row>
  </sheetData>
  <pageMargins left="0.7" right="0.7" top="0.75" bottom="0.75" header="0.3" footer="0.3"/>
  <pageSetup orientation="portrait" paperSize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26517C-B548-9E15-3113-65788D15CB3B}">
  <dimension ref="B2:N50"/>
  <sheetViews>
    <sheetView showGridLines="0" workbookViewId="0" topLeftCell="A3">
      <selection pane="topLeft" activeCell="C32" sqref="C32"/>
    </sheetView>
  </sheetViews>
  <sheetFormatPr defaultColWidth="7.755" defaultRowHeight="15" customHeight="1"/>
  <cols>
    <col min="1" max="1" width="7.75" style="1"/>
    <col min="2" max="2" width="35" style="1" customWidth="1"/>
    <col min="3" max="14" width="10" style="1" customWidth="1"/>
    <col min="15" max="16384" width="7.75" style="1"/>
  </cols>
  <sheetData>
    <row r="2" spans="2:2" ht="18" customHeight="1">
      <c r="B2" s="21" t="s">
        <v>80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81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36" t="s">
        <v>82</v>
      </c>
      <c r="C6" s="40" cm="1">
        <f t="array" ref="C6">'Debt-Overview'!C25</f>
        <v>8</v>
      </c>
      <c r="D6" s="40" cm="1">
        <f t="array" ref="D6">'Debt-Overview'!D25</f>
        <v>8</v>
      </c>
      <c r="E6" s="40" cm="1">
        <f t="array" ref="E6">'Debt-Overview'!E25</f>
        <v>8</v>
      </c>
      <c r="F6" s="40" cm="1">
        <f t="array" ref="F6">'Debt-Overview'!F25</f>
        <v>8</v>
      </c>
      <c r="G6" s="40" cm="1">
        <f t="array" ref="G6">'Debt-Overview'!G25</f>
        <v>8</v>
      </c>
      <c r="H6" s="40" cm="1">
        <f t="array" ref="H6">'Debt-Overview'!H25</f>
        <v>8</v>
      </c>
      <c r="I6" s="40" cm="1">
        <f t="array" ref="I6">'Debt-Overview'!I25</f>
        <v>8</v>
      </c>
      <c r="J6" s="40" cm="1">
        <f t="array" ref="J6">'Debt-Overview'!J25</f>
        <v>8</v>
      </c>
      <c r="K6" s="40" cm="1">
        <f t="array" ref="K6">'Debt-Overview'!K25</f>
        <v>8</v>
      </c>
      <c r="L6" s="40" cm="1">
        <f t="array" ref="L6">'Debt-Overview'!L25</f>
        <v>8</v>
      </c>
      <c r="M6" s="40" cm="1">
        <f t="array" ref="M6">'Debt-Overview'!M25</f>
        <v>8</v>
      </c>
      <c r="N6" s="40" cm="1">
        <f t="array" ref="N6">'Debt-Overview'!N25</f>
        <v>8</v>
      </c>
    </row>
    <row r="7" spans="2:14" ht="15.75" customHeight="1">
      <c r="B7" s="36" t="s">
        <v>29</v>
      </c>
      <c r="C7" s="74" cm="1">
        <f t="array" ref="C7">BS!C6</f>
        <v>1</v>
      </c>
      <c r="D7" s="74" cm="1">
        <f t="array" ref="D7">BS!D6</f>
        <v>1</v>
      </c>
      <c r="E7" s="74" cm="1">
        <f t="array" ref="E7">BS!E6</f>
        <v>1</v>
      </c>
      <c r="F7" s="74" cm="1">
        <f t="array" ref="F7">BS!F6</f>
        <v>1</v>
      </c>
      <c r="G7" s="74" cm="1">
        <f t="array" ref="G7">BS!G6</f>
        <v>1</v>
      </c>
      <c r="H7" s="74" cm="1">
        <f t="array" ref="H7">BS!H6</f>
        <v>1</v>
      </c>
      <c r="I7" s="74" cm="1">
        <f t="array" ref="I7">BS!I6</f>
        <v>1</v>
      </c>
      <c r="J7" s="74" cm="1">
        <f t="array" ref="J7">BS!J6</f>
        <v>1</v>
      </c>
      <c r="K7" s="74" cm="1">
        <f t="array" ref="K7">BS!K6</f>
        <v>1</v>
      </c>
      <c r="L7" s="74" cm="1">
        <f t="array" ref="L7">BS!L6</f>
        <v>1</v>
      </c>
      <c r="M7" s="74" cm="1">
        <f t="array" ref="M7">BS!M6</f>
        <v>1</v>
      </c>
      <c r="N7" s="74" cm="1">
        <f t="array" ref="N7">BS!N6</f>
        <v>1</v>
      </c>
    </row>
    <row r="8" spans="2:14" ht="15.75" customHeight="1">
      <c r="B8" s="36" t="s">
        <v>83</v>
      </c>
      <c r="C8" s="39">
        <f t="shared" si="0" ref="C8:N36">C6-C7</f>
        <v>7</v>
      </c>
      <c r="D8" s="39">
        <f t="shared" si="0"/>
        <v>7</v>
      </c>
      <c r="E8" s="39">
        <f t="shared" si="0"/>
        <v>7</v>
      </c>
      <c r="F8" s="39">
        <f t="shared" si="0"/>
        <v>7</v>
      </c>
      <c r="G8" s="39">
        <f t="shared" si="0"/>
        <v>7</v>
      </c>
      <c r="H8" s="39">
        <f t="shared" si="0"/>
        <v>7</v>
      </c>
      <c r="I8" s="39">
        <f t="shared" si="0"/>
        <v>7</v>
      </c>
      <c r="J8" s="39">
        <f t="shared" si="0"/>
        <v>7</v>
      </c>
      <c r="K8" s="39">
        <f t="shared" si="0"/>
        <v>7</v>
      </c>
      <c r="L8" s="39">
        <f t="shared" si="0"/>
        <v>7</v>
      </c>
      <c r="M8" s="39">
        <f t="shared" si="0"/>
        <v>7</v>
      </c>
      <c r="N8" s="39">
        <f t="shared" si="0"/>
        <v>7</v>
      </c>
    </row>
    <row r="9" spans="2:14" ht="15.75" customHeight="1">
      <c r="B9" s="36" t="s">
        <v>84</v>
      </c>
      <c r="C9" s="71">
        <v>1</v>
      </c>
      <c r="D9" s="71">
        <v>1</v>
      </c>
      <c r="E9" s="71">
        <v>1</v>
      </c>
      <c r="F9" s="71">
        <v>1</v>
      </c>
      <c r="G9" s="71">
        <v>1</v>
      </c>
      <c r="H9" s="71">
        <v>1</v>
      </c>
      <c r="I9" s="71">
        <v>1</v>
      </c>
      <c r="J9" s="71">
        <v>1</v>
      </c>
      <c r="K9" s="71">
        <v>1</v>
      </c>
      <c r="L9" s="71">
        <v>1</v>
      </c>
      <c r="M9" s="71">
        <v>1</v>
      </c>
      <c r="N9" s="71">
        <v>1</v>
      </c>
    </row>
    <row r="10" spans="2:14" ht="15.75" customHeight="1">
      <c r="B10" s="36" t="s">
        <v>85</v>
      </c>
      <c r="C10" s="39">
        <f t="shared" si="1" ref="C10:N10">C9-C8</f>
        <v>-6</v>
      </c>
      <c r="D10" s="39">
        <f t="shared" si="1"/>
        <v>-6</v>
      </c>
      <c r="E10" s="39">
        <f t="shared" si="1"/>
        <v>-6</v>
      </c>
      <c r="F10" s="39">
        <f t="shared" si="1"/>
        <v>-6</v>
      </c>
      <c r="G10" s="39">
        <f t="shared" si="1"/>
        <v>-6</v>
      </c>
      <c r="H10" s="39">
        <f t="shared" si="1"/>
        <v>-6</v>
      </c>
      <c r="I10" s="39">
        <f t="shared" si="1"/>
        <v>-6</v>
      </c>
      <c r="J10" s="39">
        <f t="shared" si="1"/>
        <v>-6</v>
      </c>
      <c r="K10" s="39">
        <f t="shared" si="1"/>
        <v>-6</v>
      </c>
      <c r="L10" s="39">
        <f t="shared" si="1"/>
        <v>-6</v>
      </c>
      <c r="M10" s="39">
        <f t="shared" si="1"/>
        <v>-6</v>
      </c>
      <c r="N10" s="39">
        <f t="shared" si="1"/>
        <v>-6</v>
      </c>
    </row>
    <row r="11" spans="2:14" ht="15" customHeight="1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2:14" ht="15" customHeight="1">
      <c r="B12" s="34" t="s">
        <v>86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2:14" ht="15.75" customHeight="1">
      <c r="B13" s="36" t="s">
        <v>87</v>
      </c>
      <c r="C13" s="40" cm="1">
        <f t="array" ref="C13">'P&amp;L'!C15</f>
        <v>-1</v>
      </c>
      <c r="D13" s="40" cm="1">
        <f t="array" ref="D13">'P&amp;L'!D15</f>
        <v>-1</v>
      </c>
      <c r="E13" s="40" cm="1">
        <f t="array" ref="E13">'P&amp;L'!E15</f>
        <v>-1</v>
      </c>
      <c r="F13" s="40" cm="1">
        <f t="array" ref="F13">'P&amp;L'!F15</f>
        <v>-1</v>
      </c>
      <c r="G13" s="40" cm="1">
        <f t="array" ref="G13">'P&amp;L'!G15</f>
        <v>-1</v>
      </c>
      <c r="H13" s="40" cm="1">
        <f t="array" ref="H13">'P&amp;L'!H15</f>
        <v>-1</v>
      </c>
      <c r="I13" s="40" cm="1">
        <f t="array" ref="I13">'P&amp;L'!I15</f>
        <v>-1</v>
      </c>
      <c r="J13" s="40" cm="1">
        <f t="array" ref="J13">'P&amp;L'!J15</f>
        <v>-1</v>
      </c>
      <c r="K13" s="40" cm="1">
        <f t="array" ref="K13">'P&amp;L'!K15</f>
        <v>-1</v>
      </c>
      <c r="L13" s="40" cm="1">
        <f t="array" ref="L13">'P&amp;L'!L15</f>
        <v>-1</v>
      </c>
      <c r="M13" s="40" cm="1">
        <f t="array" ref="M13">'P&amp;L'!M15</f>
        <v>-1</v>
      </c>
      <c r="N13" s="40" cm="1">
        <f t="array" ref="N13">'P&amp;L'!N15</f>
        <v>-1</v>
      </c>
    </row>
    <row r="14" spans="2:14" ht="15.75" customHeight="1">
      <c r="B14" s="36" t="s">
        <v>18</v>
      </c>
      <c r="C14" s="40" cm="1">
        <f t="array" ref="C14">'P&amp;L'!C29</f>
        <v>7</v>
      </c>
      <c r="D14" s="40" cm="1">
        <f t="array" ref="D14">'P&amp;L'!D29</f>
        <v>7</v>
      </c>
      <c r="E14" s="40" cm="1">
        <f t="array" ref="E14">'P&amp;L'!E29</f>
        <v>7</v>
      </c>
      <c r="F14" s="40" cm="1">
        <f t="array" ref="F14">'P&amp;L'!F29</f>
        <v>7</v>
      </c>
      <c r="G14" s="40" cm="1">
        <f t="array" ref="G14">'P&amp;L'!G29</f>
        <v>7</v>
      </c>
      <c r="H14" s="40" cm="1">
        <f t="array" ref="H14">'P&amp;L'!H29</f>
        <v>7</v>
      </c>
      <c r="I14" s="40" cm="1">
        <f t="array" ref="I14">'P&amp;L'!I29</f>
        <v>7</v>
      </c>
      <c r="J14" s="40" cm="1">
        <f t="array" ref="J14">'P&amp;L'!J29</f>
        <v>7</v>
      </c>
      <c r="K14" s="40" cm="1">
        <f t="array" ref="K14">'P&amp;L'!K29</f>
        <v>7</v>
      </c>
      <c r="L14" s="40" cm="1">
        <f t="array" ref="L14">'P&amp;L'!L29</f>
        <v>7</v>
      </c>
      <c r="M14" s="40" cm="1">
        <f t="array" ref="M14">'P&amp;L'!M29</f>
        <v>7</v>
      </c>
      <c r="N14" s="40" cm="1">
        <f t="array" ref="N14">'P&amp;L'!N29</f>
        <v>7</v>
      </c>
    </row>
    <row r="15" spans="2:14" ht="15.75" customHeight="1">
      <c r="B15" s="36" t="s">
        <v>88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1</v>
      </c>
      <c r="L15" s="71">
        <v>1</v>
      </c>
      <c r="M15" s="71">
        <v>1</v>
      </c>
      <c r="N15" s="71">
        <v>1</v>
      </c>
    </row>
    <row r="16" spans="2:14" ht="15.75" customHeight="1">
      <c r="B16" s="36" t="s">
        <v>2</v>
      </c>
      <c r="C16" s="40" cm="1">
        <f t="array" ref="C16">'P&amp;L'!C5</f>
        <v>1</v>
      </c>
      <c r="D16" s="40" cm="1">
        <f t="array" ref="D16">'P&amp;L'!D5</f>
        <v>1</v>
      </c>
      <c r="E16" s="40" cm="1">
        <f t="array" ref="E16">'P&amp;L'!E5</f>
        <v>1</v>
      </c>
      <c r="F16" s="40" cm="1">
        <f t="array" ref="F16">'P&amp;L'!F5</f>
        <v>1</v>
      </c>
      <c r="G16" s="40" cm="1">
        <f t="array" ref="G16">'P&amp;L'!G5</f>
        <v>1</v>
      </c>
      <c r="H16" s="40" cm="1">
        <f t="array" ref="H16">'P&amp;L'!H5</f>
        <v>1</v>
      </c>
      <c r="I16" s="40" cm="1">
        <f t="array" ref="I16">'P&amp;L'!I5</f>
        <v>1</v>
      </c>
      <c r="J16" s="40" cm="1">
        <f t="array" ref="J16">'P&amp;L'!J5</f>
        <v>1</v>
      </c>
      <c r="K16" s="40" cm="1">
        <f t="array" ref="K16">'P&amp;L'!K5</f>
        <v>1</v>
      </c>
      <c r="L16" s="40" cm="1">
        <f t="array" ref="L16">'P&amp;L'!L5</f>
        <v>1</v>
      </c>
      <c r="M16" s="40" cm="1">
        <f t="array" ref="M16">'P&amp;L'!M5</f>
        <v>1</v>
      </c>
      <c r="N16" s="40" cm="1">
        <f t="array" ref="N16">'P&amp;L'!N5</f>
        <v>1</v>
      </c>
    </row>
    <row r="17" spans="2:14" ht="15" customHeight="1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2:14" ht="15" customHeight="1">
      <c r="B18" s="34" t="s">
        <v>89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2:14" ht="15.75" customHeight="1">
      <c r="B19" s="36" t="s">
        <v>90</v>
      </c>
      <c r="C19" s="42">
        <f t="shared" si="2" ref="C19:N19">IF(C14=0,"",C6/C14)</f>
        <v>1.1428571428571428</v>
      </c>
      <c r="D19" s="42">
        <f t="shared" si="2"/>
        <v>1.1428571428571428</v>
      </c>
      <c r="E19" s="42">
        <f t="shared" si="2"/>
        <v>1.1428571428571428</v>
      </c>
      <c r="F19" s="42">
        <f t="shared" si="2"/>
        <v>1.1428571428571428</v>
      </c>
      <c r="G19" s="42">
        <f t="shared" si="2"/>
        <v>1.1428571428571428</v>
      </c>
      <c r="H19" s="42">
        <f t="shared" si="2"/>
        <v>1.1428571428571428</v>
      </c>
      <c r="I19" s="42">
        <f t="shared" si="2"/>
        <v>1.1428571428571428</v>
      </c>
      <c r="J19" s="42">
        <f t="shared" si="2"/>
        <v>1.1428571428571428</v>
      </c>
      <c r="K19" s="42">
        <f t="shared" si="2"/>
        <v>1.1428571428571428</v>
      </c>
      <c r="L19" s="42">
        <f t="shared" si="2"/>
        <v>1.1428571428571428</v>
      </c>
      <c r="M19" s="42">
        <f t="shared" si="2"/>
        <v>1.1428571428571428</v>
      </c>
      <c r="N19" s="42">
        <f t="shared" si="2"/>
        <v>1.1428571428571428</v>
      </c>
    </row>
    <row r="20" spans="2:14" ht="15.75" customHeight="1">
      <c r="B20" s="36" t="s">
        <v>91</v>
      </c>
      <c r="C20" s="75">
        <f t="shared" si="3" ref="C20:N20">IF(C14=0,"",C8/C14)</f>
        <v>1</v>
      </c>
      <c r="D20" s="75">
        <f t="shared" si="3"/>
        <v>1</v>
      </c>
      <c r="E20" s="75">
        <f t="shared" si="3"/>
        <v>1</v>
      </c>
      <c r="F20" s="75">
        <f t="shared" si="3"/>
        <v>1</v>
      </c>
      <c r="G20" s="75">
        <f t="shared" si="3"/>
        <v>1</v>
      </c>
      <c r="H20" s="75">
        <f t="shared" si="3"/>
        <v>1</v>
      </c>
      <c r="I20" s="75">
        <f t="shared" si="3"/>
        <v>1</v>
      </c>
      <c r="J20" s="75">
        <f t="shared" si="3"/>
        <v>1</v>
      </c>
      <c r="K20" s="75">
        <f t="shared" si="3"/>
        <v>1</v>
      </c>
      <c r="L20" s="75">
        <f t="shared" si="3"/>
        <v>1</v>
      </c>
      <c r="M20" s="75">
        <f t="shared" si="3"/>
        <v>1</v>
      </c>
      <c r="N20" s="75">
        <f t="shared" si="3"/>
        <v>1</v>
      </c>
    </row>
    <row r="21" spans="2:14" ht="15.75" customHeight="1">
      <c r="B21" s="36" t="s">
        <v>92</v>
      </c>
      <c r="C21" s="76">
        <v>1</v>
      </c>
      <c r="D21" s="76">
        <v>1</v>
      </c>
      <c r="E21" s="76">
        <v>1</v>
      </c>
      <c r="F21" s="76">
        <v>1</v>
      </c>
      <c r="G21" s="76">
        <v>1</v>
      </c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</row>
    <row r="22" spans="2:14" ht="15.75" customHeight="1">
      <c r="B22" s="36" t="s">
        <v>93</v>
      </c>
      <c r="C22" s="76">
        <v>1</v>
      </c>
      <c r="D22" s="76">
        <v>1</v>
      </c>
      <c r="E22" s="76">
        <v>1</v>
      </c>
      <c r="F22" s="76">
        <v>1</v>
      </c>
      <c r="G22" s="76">
        <v>1</v>
      </c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</row>
    <row r="23" spans="2:14" ht="15.75" customHeight="1">
      <c r="B23" s="36" t="s">
        <v>94</v>
      </c>
      <c r="C23" s="76">
        <v>1</v>
      </c>
      <c r="D23" s="76">
        <v>1</v>
      </c>
      <c r="E23" s="76">
        <v>1</v>
      </c>
      <c r="F23" s="76">
        <v>1</v>
      </c>
      <c r="G23" s="76">
        <v>1</v>
      </c>
      <c r="H23" s="76">
        <v>1</v>
      </c>
      <c r="I23" s="76">
        <v>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</row>
    <row r="24" spans="2:14" ht="15" customHeight="1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2:14" ht="15" customHeight="1">
      <c r="B25" s="34" t="s">
        <v>95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ht="15.75" customHeight="1">
      <c r="B26" s="36" t="s">
        <v>96</v>
      </c>
      <c r="C26" s="40">
        <f>'Debt-Overview'!C25*'Debt-Overview'!C33/12</f>
        <v>0.66666666666666663</v>
      </c>
      <c r="D26" s="40">
        <f>'Debt-Overview'!D25*'Debt-Overview'!D33/12</f>
        <v>0.66666666666666663</v>
      </c>
      <c r="E26" s="40">
        <f>'Debt-Overview'!E25*'Debt-Overview'!E33/12</f>
        <v>0.66666666666666663</v>
      </c>
      <c r="F26" s="40">
        <f>'Debt-Overview'!F25*'Debt-Overview'!F33/12</f>
        <v>0.66666666666666663</v>
      </c>
      <c r="G26" s="40">
        <f>'Debt-Overview'!G25*'Debt-Overview'!G33/12</f>
        <v>0.66666666666666663</v>
      </c>
      <c r="H26" s="40">
        <f>'Debt-Overview'!H25*'Debt-Overview'!H33/12</f>
        <v>0.66666666666666663</v>
      </c>
      <c r="I26" s="40">
        <f>'Debt-Overview'!I25*'Debt-Overview'!I33/12</f>
        <v>0.66666666666666663</v>
      </c>
      <c r="J26" s="40">
        <f>'Debt-Overview'!J25*'Debt-Overview'!J33/12</f>
        <v>0.66666666666666663</v>
      </c>
      <c r="K26" s="40">
        <f>'Debt-Overview'!K25*'Debt-Overview'!K33/12</f>
        <v>0.66666666666666663</v>
      </c>
      <c r="L26" s="40">
        <f>'Debt-Overview'!L25*'Debt-Overview'!L33/12</f>
        <v>0.66666666666666663</v>
      </c>
      <c r="M26" s="40">
        <f>'Debt-Overview'!M25*'Debt-Overview'!M33/12</f>
        <v>0.66666666666666663</v>
      </c>
      <c r="N26" s="41">
        <f>'Debt-Overview'!N25*'Debt-Overview'!N33/12</f>
        <v>0.66666666666666663</v>
      </c>
    </row>
    <row r="27" spans="2:14" ht="15.75" customHeight="1">
      <c r="B27" s="36" t="s">
        <v>97</v>
      </c>
      <c r="C27" s="77">
        <v>1</v>
      </c>
      <c r="D27" s="77">
        <v>1</v>
      </c>
      <c r="E27" s="77">
        <v>1</v>
      </c>
      <c r="F27" s="77">
        <v>1</v>
      </c>
      <c r="G27" s="77">
        <v>1</v>
      </c>
      <c r="H27" s="77">
        <v>1</v>
      </c>
      <c r="I27" s="77">
        <v>1</v>
      </c>
      <c r="J27" s="77">
        <v>1</v>
      </c>
      <c r="K27" s="77">
        <v>1</v>
      </c>
      <c r="L27" s="77">
        <v>1</v>
      </c>
      <c r="M27" s="77">
        <v>1</v>
      </c>
      <c r="N27" s="77">
        <v>1</v>
      </c>
    </row>
    <row r="28" spans="2:14" ht="15.75" customHeight="1">
      <c r="B28" s="36" t="s">
        <v>98</v>
      </c>
      <c r="C28" s="39">
        <f t="shared" si="4" ref="C28:N28">C26+C27</f>
        <v>1.6666666666666665</v>
      </c>
      <c r="D28" s="39">
        <f t="shared" si="4"/>
        <v>1.6666666666666665</v>
      </c>
      <c r="E28" s="39">
        <f t="shared" si="4"/>
        <v>1.6666666666666665</v>
      </c>
      <c r="F28" s="39">
        <f t="shared" si="4"/>
        <v>1.6666666666666665</v>
      </c>
      <c r="G28" s="39">
        <f t="shared" si="4"/>
        <v>1.6666666666666665</v>
      </c>
      <c r="H28" s="39">
        <f>H26+H27</f>
        <v>1.6666666666666665</v>
      </c>
      <c r="I28" s="39">
        <f t="shared" si="4"/>
        <v>1.6666666666666665</v>
      </c>
      <c r="J28" s="39">
        <f t="shared" si="4"/>
        <v>1.6666666666666665</v>
      </c>
      <c r="K28" s="39">
        <f t="shared" si="4"/>
        <v>1.6666666666666665</v>
      </c>
      <c r="L28" s="39">
        <f t="shared" si="4"/>
        <v>1.6666666666666665</v>
      </c>
      <c r="M28" s="39">
        <f t="shared" si="4"/>
        <v>1.6666666666666665</v>
      </c>
      <c r="N28" s="39">
        <f t="shared" si="4"/>
        <v>1.6666666666666665</v>
      </c>
    </row>
    <row r="29" spans="2:14" ht="15.75" customHeight="1">
      <c r="B29" s="36" t="s">
        <v>99</v>
      </c>
      <c r="C29" s="42">
        <f t="shared" si="5" ref="C29:N29">IF(C26=0,"",C14/C26)</f>
        <v>10.50</v>
      </c>
      <c r="D29" s="42">
        <f t="shared" si="5"/>
        <v>10.50</v>
      </c>
      <c r="E29" s="42">
        <f t="shared" si="5"/>
        <v>10.50</v>
      </c>
      <c r="F29" s="42">
        <f t="shared" si="5"/>
        <v>10.50</v>
      </c>
      <c r="G29" s="42">
        <f t="shared" si="5"/>
        <v>10.50</v>
      </c>
      <c r="H29" s="42">
        <f t="shared" si="5"/>
        <v>10.50</v>
      </c>
      <c r="I29" s="42">
        <f t="shared" si="5"/>
        <v>10.50</v>
      </c>
      <c r="J29" s="42">
        <f t="shared" si="5"/>
        <v>10.50</v>
      </c>
      <c r="K29" s="42">
        <f t="shared" si="5"/>
        <v>10.50</v>
      </c>
      <c r="L29" s="42">
        <f t="shared" si="5"/>
        <v>10.50</v>
      </c>
      <c r="M29" s="42">
        <f t="shared" si="5"/>
        <v>10.50</v>
      </c>
      <c r="N29" s="42">
        <f t="shared" si="5"/>
        <v>10.50</v>
      </c>
    </row>
    <row r="30" spans="2:14" ht="15.75" customHeight="1">
      <c r="B30" s="36" t="s">
        <v>100</v>
      </c>
      <c r="C30" s="42">
        <f t="shared" si="6" ref="C30:N30">IF(C28=0,"",(C14-C35)/C28)</f>
        <v>3.6000000000000005</v>
      </c>
      <c r="D30" s="42">
        <f t="shared" si="6"/>
        <v>3.6000000000000005</v>
      </c>
      <c r="E30" s="42">
        <f t="shared" si="6"/>
        <v>3.6000000000000005</v>
      </c>
      <c r="F30" s="42">
        <f t="shared" si="6"/>
        <v>3.6000000000000005</v>
      </c>
      <c r="G30" s="42">
        <f t="shared" si="6"/>
        <v>3.6000000000000005</v>
      </c>
      <c r="H30" s="42">
        <f t="shared" si="6"/>
        <v>3.6000000000000005</v>
      </c>
      <c r="I30" s="42">
        <f t="shared" si="6"/>
        <v>3.6000000000000005</v>
      </c>
      <c r="J30" s="42">
        <f t="shared" si="6"/>
        <v>3.6000000000000005</v>
      </c>
      <c r="K30" s="42">
        <f t="shared" si="6"/>
        <v>3.6000000000000005</v>
      </c>
      <c r="L30" s="42">
        <f t="shared" si="6"/>
        <v>3.6000000000000005</v>
      </c>
      <c r="M30" s="42">
        <f t="shared" si="6"/>
        <v>3.6000000000000005</v>
      </c>
      <c r="N30" s="42">
        <f t="shared" si="6"/>
        <v>3.6000000000000005</v>
      </c>
    </row>
    <row r="31" spans="2:14" ht="15.75" customHeight="1">
      <c r="B31" s="36" t="s">
        <v>101</v>
      </c>
      <c r="C31" s="45">
        <f>IF(C14=0,"",C26/C14)</f>
        <v>0.095238095238095233</v>
      </c>
      <c r="D31" s="45">
        <f t="shared" si="7" ref="C31:N31">IF(D14=0,"",D26/D14)</f>
        <v>0.095238095238095233</v>
      </c>
      <c r="E31" s="45">
        <f t="shared" si="7"/>
        <v>0.095238095238095233</v>
      </c>
      <c r="F31" s="45">
        <f t="shared" si="7"/>
        <v>0.095238095238095233</v>
      </c>
      <c r="G31" s="45">
        <f t="shared" si="7"/>
        <v>0.095238095238095233</v>
      </c>
      <c r="H31" s="45">
        <f t="shared" si="7"/>
        <v>0.095238095238095233</v>
      </c>
      <c r="I31" s="45">
        <f t="shared" si="7"/>
        <v>0.095238095238095233</v>
      </c>
      <c r="J31" s="45">
        <f t="shared" si="7"/>
        <v>0.095238095238095233</v>
      </c>
      <c r="K31" s="45">
        <f t="shared" si="7"/>
        <v>0.095238095238095233</v>
      </c>
      <c r="L31" s="45">
        <f t="shared" si="7"/>
        <v>0.095238095238095233</v>
      </c>
      <c r="M31" s="45">
        <f t="shared" si="7"/>
        <v>0.095238095238095233</v>
      </c>
      <c r="N31" s="45">
        <f t="shared" si="7"/>
        <v>0.095238095238095233</v>
      </c>
    </row>
    <row r="32" spans="2:14" ht="15" customHeight="1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5" customHeight="1">
      <c r="B33" s="34" t="s">
        <v>102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2:14" ht="15.75" customHeight="1">
      <c r="B34" s="36" t="s">
        <v>103</v>
      </c>
      <c r="C34" s="40" cm="1">
        <f t="array" ref="C34">'Cash-Flow'!C12</f>
        <v>3</v>
      </c>
      <c r="D34" s="40" cm="1">
        <f t="array" ref="D34">'Cash-Flow'!D12</f>
        <v>3</v>
      </c>
      <c r="E34" s="40" cm="1">
        <f t="array" ref="E34">'Cash-Flow'!E12</f>
        <v>3</v>
      </c>
      <c r="F34" s="40" cm="1">
        <f t="array" ref="F34">'Cash-Flow'!F12</f>
        <v>3</v>
      </c>
      <c r="G34" s="40" cm="1">
        <f t="array" ref="G34">'Cash-Flow'!G12</f>
        <v>3</v>
      </c>
      <c r="H34" s="40" cm="1">
        <f t="array" ref="H34">'Cash-Flow'!H12</f>
        <v>3</v>
      </c>
      <c r="I34" s="40" cm="1">
        <f t="array" ref="I34">'Cash-Flow'!I12</f>
        <v>3</v>
      </c>
      <c r="J34" s="40" cm="1">
        <f t="array" ref="J34">'Cash-Flow'!J12</f>
        <v>3</v>
      </c>
      <c r="K34" s="40" cm="1">
        <f t="array" ref="K34">'Cash-Flow'!K12</f>
        <v>3</v>
      </c>
      <c r="L34" s="40" cm="1">
        <f t="array" ref="L34">'Cash-Flow'!L12</f>
        <v>3</v>
      </c>
      <c r="M34" s="40" cm="1">
        <f t="array" ref="M34">'Cash-Flow'!M12</f>
        <v>3</v>
      </c>
      <c r="N34" s="41" cm="1">
        <f t="array" ref="N34">'Cash-Flow'!N12</f>
        <v>3</v>
      </c>
    </row>
    <row r="35" spans="2:14" ht="15.75" customHeight="1">
      <c r="B35" s="36" t="s">
        <v>54</v>
      </c>
      <c r="C35" s="74">
        <f>ABS('Cash-Flow'!C16)</f>
        <v>1</v>
      </c>
      <c r="D35" s="74">
        <f>ABS('Cash-Flow'!D16)</f>
        <v>1</v>
      </c>
      <c r="E35" s="74">
        <f>ABS('Cash-Flow'!E16)</f>
        <v>1</v>
      </c>
      <c r="F35" s="74">
        <f>ABS('Cash-Flow'!F16)</f>
        <v>1</v>
      </c>
      <c r="G35" s="74">
        <f>ABS('Cash-Flow'!G16)</f>
        <v>1</v>
      </c>
      <c r="H35" s="74">
        <f>ABS('Cash-Flow'!H16)</f>
        <v>1</v>
      </c>
      <c r="I35" s="74">
        <f>ABS('Cash-Flow'!I16)</f>
        <v>1</v>
      </c>
      <c r="J35" s="74">
        <f>ABS('Cash-Flow'!J16)</f>
        <v>1</v>
      </c>
      <c r="K35" s="74">
        <f>ABS('Cash-Flow'!K16)</f>
        <v>1</v>
      </c>
      <c r="L35" s="74">
        <f>ABS('Cash-Flow'!L16)</f>
        <v>1</v>
      </c>
      <c r="M35" s="74">
        <f>ABS('Cash-Flow'!M16)</f>
        <v>1</v>
      </c>
      <c r="N35" s="78">
        <f>ABS('Cash-Flow'!N16)</f>
        <v>1</v>
      </c>
    </row>
    <row r="36" spans="2:14" ht="15.75" customHeight="1">
      <c r="B36" s="36" t="s">
        <v>104</v>
      </c>
      <c r="C36" s="79">
        <f t="shared" si="0"/>
        <v>2</v>
      </c>
      <c r="D36" s="79">
        <f t="shared" si="0"/>
        <v>2</v>
      </c>
      <c r="E36" s="79">
        <f t="shared" si="0"/>
        <v>2</v>
      </c>
      <c r="F36" s="79">
        <f t="shared" si="0"/>
        <v>2</v>
      </c>
      <c r="G36" s="79">
        <f t="shared" si="0"/>
        <v>2</v>
      </c>
      <c r="H36" s="79">
        <f t="shared" si="0"/>
        <v>2</v>
      </c>
      <c r="I36" s="79">
        <f t="shared" si="0"/>
        <v>2</v>
      </c>
      <c r="J36" s="79">
        <f t="shared" si="0"/>
        <v>2</v>
      </c>
      <c r="K36" s="79">
        <f t="shared" si="0"/>
        <v>2</v>
      </c>
      <c r="L36" s="79">
        <f t="shared" si="0"/>
        <v>2</v>
      </c>
      <c r="M36" s="79">
        <f t="shared" si="0"/>
        <v>2</v>
      </c>
      <c r="N36" s="79">
        <f t="shared" si="0"/>
        <v>2</v>
      </c>
    </row>
    <row r="37" spans="2:14" ht="15.75" customHeight="1">
      <c r="B37" s="36" t="s">
        <v>105</v>
      </c>
      <c r="C37" s="45">
        <f t="shared" si="8" ref="C37:N37">IF(C28=0,"",C36/C28)</f>
        <v>1.2000000000000002</v>
      </c>
      <c r="D37" s="45">
        <f t="shared" si="8"/>
        <v>1.2000000000000002</v>
      </c>
      <c r="E37" s="45">
        <f t="shared" si="8"/>
        <v>1.2000000000000002</v>
      </c>
      <c r="F37" s="45">
        <f t="shared" si="8"/>
        <v>1.2000000000000002</v>
      </c>
      <c r="G37" s="45">
        <f t="shared" si="8"/>
        <v>1.2000000000000002</v>
      </c>
      <c r="H37" s="45">
        <f t="shared" si="8"/>
        <v>1.2000000000000002</v>
      </c>
      <c r="I37" s="45">
        <f t="shared" si="8"/>
        <v>1.2000000000000002</v>
      </c>
      <c r="J37" s="45">
        <f t="shared" si="8"/>
        <v>1.2000000000000002</v>
      </c>
      <c r="K37" s="45">
        <f t="shared" si="8"/>
        <v>1.2000000000000002</v>
      </c>
      <c r="L37" s="45">
        <f t="shared" si="8"/>
        <v>1.2000000000000002</v>
      </c>
      <c r="M37" s="45">
        <f t="shared" si="8"/>
        <v>1.2000000000000002</v>
      </c>
      <c r="N37" s="45">
        <f t="shared" si="8"/>
        <v>1.2000000000000002</v>
      </c>
    </row>
    <row r="38" spans="2:14" ht="15.75" customHeight="1">
      <c r="B38" s="36" t="s">
        <v>106</v>
      </c>
      <c r="C38" s="45">
        <f t="shared" si="9" ref="C38:N38">IF(C14=0,"",C36/C14)</f>
        <v>0.2857142857142857</v>
      </c>
      <c r="D38" s="45">
        <f t="shared" si="9"/>
        <v>0.2857142857142857</v>
      </c>
      <c r="E38" s="45">
        <f t="shared" si="9"/>
        <v>0.2857142857142857</v>
      </c>
      <c r="F38" s="45">
        <f t="shared" si="9"/>
        <v>0.2857142857142857</v>
      </c>
      <c r="G38" s="45">
        <f t="shared" si="9"/>
        <v>0.2857142857142857</v>
      </c>
      <c r="H38" s="45">
        <f t="shared" si="9"/>
        <v>0.2857142857142857</v>
      </c>
      <c r="I38" s="45">
        <f t="shared" si="9"/>
        <v>0.2857142857142857</v>
      </c>
      <c r="J38" s="45">
        <f t="shared" si="9"/>
        <v>0.2857142857142857</v>
      </c>
      <c r="K38" s="45">
        <f t="shared" si="9"/>
        <v>0.2857142857142857</v>
      </c>
      <c r="L38" s="45">
        <f t="shared" si="9"/>
        <v>0.2857142857142857</v>
      </c>
      <c r="M38" s="45">
        <f t="shared" si="9"/>
        <v>0.2857142857142857</v>
      </c>
      <c r="N38" s="45">
        <f t="shared" si="9"/>
        <v>0.2857142857142857</v>
      </c>
    </row>
    <row r="39" spans="2:14" ht="15.75" customHeight="1">
      <c r="B39" s="36" t="s">
        <v>107</v>
      </c>
      <c r="C39" s="45">
        <f t="shared" si="10" ref="C39:N39">IF(C6=0,"",C36/C6)</f>
        <v>0.25</v>
      </c>
      <c r="D39" s="45">
        <f t="shared" si="10"/>
        <v>0.25</v>
      </c>
      <c r="E39" s="45">
        <f t="shared" si="10"/>
        <v>0.25</v>
      </c>
      <c r="F39" s="45">
        <f t="shared" si="10"/>
        <v>0.25</v>
      </c>
      <c r="G39" s="45">
        <f t="shared" si="10"/>
        <v>0.25</v>
      </c>
      <c r="H39" s="45">
        <f t="shared" si="10"/>
        <v>0.25</v>
      </c>
      <c r="I39" s="45">
        <f t="shared" si="10"/>
        <v>0.25</v>
      </c>
      <c r="J39" s="45">
        <f t="shared" si="10"/>
        <v>0.25</v>
      </c>
      <c r="K39" s="45">
        <f t="shared" si="10"/>
        <v>0.25</v>
      </c>
      <c r="L39" s="45">
        <f t="shared" si="10"/>
        <v>0.25</v>
      </c>
      <c r="M39" s="45">
        <f t="shared" si="10"/>
        <v>0.25</v>
      </c>
      <c r="N39" s="45">
        <f t="shared" si="10"/>
        <v>0.25</v>
      </c>
    </row>
    <row r="40" spans="2:14" ht="1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2:14" ht="15" customHeight="1">
      <c r="B41" s="34" t="s">
        <v>108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2:14" ht="15.75" customHeight="1">
      <c r="B42" s="36" t="s">
        <v>109</v>
      </c>
      <c r="C42" s="42">
        <f t="shared" si="11" ref="C42:N42">IF(C14=0,"",C9/C14)</f>
        <v>0.14285714285714285</v>
      </c>
      <c r="D42" s="42">
        <f t="shared" si="11"/>
        <v>0.14285714285714285</v>
      </c>
      <c r="E42" s="42">
        <f t="shared" si="11"/>
        <v>0.14285714285714285</v>
      </c>
      <c r="F42" s="42">
        <f t="shared" si="11"/>
        <v>0.14285714285714285</v>
      </c>
      <c r="G42" s="42">
        <f t="shared" si="11"/>
        <v>0.14285714285714285</v>
      </c>
      <c r="H42" s="42">
        <f t="shared" si="11"/>
        <v>0.14285714285714285</v>
      </c>
      <c r="I42" s="42">
        <f t="shared" si="11"/>
        <v>0.14285714285714285</v>
      </c>
      <c r="J42" s="42">
        <f t="shared" si="11"/>
        <v>0.14285714285714285</v>
      </c>
      <c r="K42" s="42">
        <f t="shared" si="11"/>
        <v>0.14285714285714285</v>
      </c>
      <c r="L42" s="42">
        <f t="shared" si="11"/>
        <v>0.14285714285714285</v>
      </c>
      <c r="M42" s="42">
        <f t="shared" si="11"/>
        <v>0.14285714285714285</v>
      </c>
      <c r="N42" s="42">
        <f t="shared" si="11"/>
        <v>0.14285714285714285</v>
      </c>
    </row>
    <row r="43" spans="2:14" ht="15.75" customHeight="1">
      <c r="B43" s="36" t="s">
        <v>110</v>
      </c>
      <c r="C43" s="75">
        <f t="shared" si="12" ref="C43:N43">IF(C15=0,"",C9/C15)</f>
        <v>1</v>
      </c>
      <c r="D43" s="75">
        <f t="shared" si="12"/>
        <v>1</v>
      </c>
      <c r="E43" s="75">
        <f t="shared" si="12"/>
        <v>1</v>
      </c>
      <c r="F43" s="75">
        <f t="shared" si="12"/>
        <v>1</v>
      </c>
      <c r="G43" s="75">
        <f t="shared" si="12"/>
        <v>1</v>
      </c>
      <c r="H43" s="75">
        <f t="shared" si="12"/>
        <v>1</v>
      </c>
      <c r="I43" s="75">
        <f t="shared" si="12"/>
        <v>1</v>
      </c>
      <c r="J43" s="75">
        <f t="shared" si="12"/>
        <v>1</v>
      </c>
      <c r="K43" s="75">
        <f t="shared" si="12"/>
        <v>1</v>
      </c>
      <c r="L43" s="75">
        <f t="shared" si="12"/>
        <v>1</v>
      </c>
      <c r="M43" s="75">
        <f t="shared" si="12"/>
        <v>1</v>
      </c>
      <c r="N43" s="75">
        <f t="shared" si="12"/>
        <v>1</v>
      </c>
    </row>
    <row r="44" spans="2:14" ht="15.75" customHeight="1">
      <c r="B44" s="36" t="s">
        <v>111</v>
      </c>
      <c r="C44" s="75">
        <f t="shared" si="13" ref="C44:N44">IF(C16=0,"",C9/C16)</f>
        <v>1</v>
      </c>
      <c r="D44" s="75">
        <f t="shared" si="13"/>
        <v>1</v>
      </c>
      <c r="E44" s="75">
        <f t="shared" si="13"/>
        <v>1</v>
      </c>
      <c r="F44" s="75">
        <f t="shared" si="13"/>
        <v>1</v>
      </c>
      <c r="G44" s="75">
        <f t="shared" si="13"/>
        <v>1</v>
      </c>
      <c r="H44" s="75">
        <f t="shared" si="13"/>
        <v>1</v>
      </c>
      <c r="I44" s="75">
        <f t="shared" si="13"/>
        <v>1</v>
      </c>
      <c r="J44" s="75">
        <f t="shared" si="13"/>
        <v>1</v>
      </c>
      <c r="K44" s="75">
        <f t="shared" si="13"/>
        <v>1</v>
      </c>
      <c r="L44" s="75">
        <f t="shared" si="13"/>
        <v>1</v>
      </c>
      <c r="M44" s="75">
        <f t="shared" si="13"/>
        <v>1</v>
      </c>
      <c r="N44" s="75">
        <f t="shared" si="13"/>
        <v>1</v>
      </c>
    </row>
    <row r="45" spans="2:14" ht="15.75" customHeight="1">
      <c r="B45" s="36" t="s">
        <v>112</v>
      </c>
      <c r="C45" s="42">
        <f t="shared" si="14" ref="C45:N45">IF(C14=0,"",C10/C14)</f>
        <v>-0.8571428571428571</v>
      </c>
      <c r="D45" s="42">
        <f t="shared" si="14"/>
        <v>-0.8571428571428571</v>
      </c>
      <c r="E45" s="42">
        <f t="shared" si="14"/>
        <v>-0.8571428571428571</v>
      </c>
      <c r="F45" s="42">
        <f t="shared" si="14"/>
        <v>-0.8571428571428571</v>
      </c>
      <c r="G45" s="42">
        <f t="shared" si="14"/>
        <v>-0.8571428571428571</v>
      </c>
      <c r="H45" s="42">
        <f t="shared" si="14"/>
        <v>-0.8571428571428571</v>
      </c>
      <c r="I45" s="42">
        <f t="shared" si="14"/>
        <v>-0.8571428571428571</v>
      </c>
      <c r="J45" s="42">
        <f t="shared" si="14"/>
        <v>-0.8571428571428571</v>
      </c>
      <c r="K45" s="42">
        <f t="shared" si="14"/>
        <v>-0.8571428571428571</v>
      </c>
      <c r="L45" s="42">
        <f t="shared" si="14"/>
        <v>-0.8571428571428571</v>
      </c>
      <c r="M45" s="42">
        <f t="shared" si="14"/>
        <v>-0.8571428571428571</v>
      </c>
      <c r="N45" s="42">
        <f t="shared" si="14"/>
        <v>-0.8571428571428571</v>
      </c>
    </row>
    <row r="46" spans="2:14" ht="15" customHeight="1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2:14" ht="15" customHeight="1">
      <c r="B47" s="34" t="s">
        <v>113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2:14" ht="15.75" customHeight="1">
      <c r="B48" s="36" t="s">
        <v>114</v>
      </c>
      <c r="C48" s="80">
        <v>1</v>
      </c>
      <c r="D48" s="80">
        <v>1</v>
      </c>
      <c r="E48" s="80">
        <v>1</v>
      </c>
      <c r="F48" s="80">
        <v>1</v>
      </c>
      <c r="G48" s="80">
        <v>1</v>
      </c>
      <c r="H48" s="80">
        <v>1</v>
      </c>
      <c r="I48" s="80">
        <v>1</v>
      </c>
      <c r="J48" s="80">
        <v>1</v>
      </c>
      <c r="K48" s="80">
        <v>1</v>
      </c>
      <c r="L48" s="80">
        <v>1</v>
      </c>
      <c r="M48" s="80">
        <v>1</v>
      </c>
      <c r="N48" s="80">
        <v>1</v>
      </c>
    </row>
    <row r="49" spans="2:14" ht="15.75" customHeight="1">
      <c r="B49" s="36" t="s">
        <v>115</v>
      </c>
      <c r="C49" s="42">
        <f t="shared" si="15" ref="C49:N49">IF(OR(C48=0,C20=""),"",C48-C20)</f>
        <v>0</v>
      </c>
      <c r="D49" s="42">
        <f t="shared" si="15"/>
        <v>0</v>
      </c>
      <c r="E49" s="42">
        <f t="shared" si="15"/>
        <v>0</v>
      </c>
      <c r="F49" s="42">
        <f t="shared" si="15"/>
        <v>0</v>
      </c>
      <c r="G49" s="42">
        <f t="shared" si="15"/>
        <v>0</v>
      </c>
      <c r="H49" s="42">
        <f t="shared" si="15"/>
        <v>0</v>
      </c>
      <c r="I49" s="42">
        <f t="shared" si="15"/>
        <v>0</v>
      </c>
      <c r="J49" s="42">
        <f t="shared" si="15"/>
        <v>0</v>
      </c>
      <c r="K49" s="42">
        <f t="shared" si="15"/>
        <v>0</v>
      </c>
      <c r="L49" s="42">
        <f t="shared" si="15"/>
        <v>0</v>
      </c>
      <c r="M49" s="42">
        <f t="shared" si="15"/>
        <v>0</v>
      </c>
      <c r="N49" s="42">
        <f t="shared" si="15"/>
        <v>0</v>
      </c>
    </row>
    <row r="50" spans="2:14" ht="15.75" customHeight="1">
      <c r="B50" s="36" t="s">
        <v>116</v>
      </c>
      <c r="C50" s="45">
        <f t="shared" si="16" ref="C50:N50">IF(OR(C48=0,C20=""),"",C49/C48)</f>
        <v>0</v>
      </c>
      <c r="D50" s="45">
        <f t="shared" si="16"/>
        <v>0</v>
      </c>
      <c r="E50" s="45">
        <f t="shared" si="16"/>
        <v>0</v>
      </c>
      <c r="F50" s="45">
        <f t="shared" si="16"/>
        <v>0</v>
      </c>
      <c r="G50" s="45">
        <f t="shared" si="16"/>
        <v>0</v>
      </c>
      <c r="H50" s="45">
        <f t="shared" si="16"/>
        <v>0</v>
      </c>
      <c r="I50" s="45">
        <f t="shared" si="16"/>
        <v>0</v>
      </c>
      <c r="J50" s="45">
        <f t="shared" si="16"/>
        <v>0</v>
      </c>
      <c r="K50" s="45">
        <f t="shared" si="16"/>
        <v>0</v>
      </c>
      <c r="L50" s="45">
        <f t="shared" si="16"/>
        <v>0</v>
      </c>
      <c r="M50" s="45">
        <f t="shared" si="16"/>
        <v>0</v>
      </c>
      <c r="N50" s="45">
        <f t="shared" si="16"/>
        <v>0</v>
      </c>
    </row>
  </sheetData>
  <pageMargins left="0.7" right="0.7" top="0.75" bottom="0.75" header="0.3" footer="0.3"/>
  <pageSetup orientation="portrait" paperSize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86FC28-AEB8-2608-E7C8-CF458980CB44}">
  <dimension ref="B2:N33"/>
  <sheetViews>
    <sheetView showGridLines="0" workbookViewId="0" topLeftCell="A1">
      <selection pane="topLeft" activeCell="N33" sqref="N33"/>
    </sheetView>
  </sheetViews>
  <sheetFormatPr defaultColWidth="7.755" defaultRowHeight="15" customHeight="1"/>
  <cols>
    <col min="1" max="1" width="7.75" style="1"/>
    <col min="2" max="2" width="28.75" style="1" customWidth="1"/>
    <col min="3" max="14" width="10.625" style="1" customWidth="1"/>
    <col min="15" max="16384" width="7.75" style="1"/>
  </cols>
  <sheetData>
    <row r="2" spans="2:2" ht="18" customHeight="1">
      <c r="B2" s="21" t="s">
        <v>117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118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36" t="s">
        <v>119</v>
      </c>
      <c r="C6" s="77">
        <v>1</v>
      </c>
      <c r="D6" s="77">
        <v>1</v>
      </c>
      <c r="E6" s="77">
        <v>1</v>
      </c>
      <c r="F6" s="77">
        <v>1</v>
      </c>
      <c r="G6" s="77">
        <v>1</v>
      </c>
      <c r="H6" s="77">
        <v>1</v>
      </c>
      <c r="I6" s="77">
        <v>1</v>
      </c>
      <c r="J6" s="77">
        <v>1</v>
      </c>
      <c r="K6" s="77">
        <v>1</v>
      </c>
      <c r="L6" s="77">
        <v>1</v>
      </c>
      <c r="M6" s="77">
        <v>1</v>
      </c>
      <c r="N6" s="77">
        <v>1</v>
      </c>
    </row>
    <row r="7" spans="2:14" ht="15.75" customHeight="1">
      <c r="B7" s="36" t="s">
        <v>120</v>
      </c>
      <c r="C7" s="77">
        <v>1</v>
      </c>
      <c r="D7" s="77">
        <v>1</v>
      </c>
      <c r="E7" s="77">
        <v>1</v>
      </c>
      <c r="F7" s="77">
        <v>1</v>
      </c>
      <c r="G7" s="77">
        <v>1</v>
      </c>
      <c r="H7" s="77">
        <v>1</v>
      </c>
      <c r="I7" s="77">
        <v>1</v>
      </c>
      <c r="J7" s="77">
        <v>1</v>
      </c>
      <c r="K7" s="77">
        <v>1</v>
      </c>
      <c r="L7" s="77">
        <v>1</v>
      </c>
      <c r="M7" s="77">
        <v>1</v>
      </c>
      <c r="N7" s="77">
        <v>1</v>
      </c>
    </row>
    <row r="8" spans="2:14" ht="15.75" customHeight="1">
      <c r="B8" s="36" t="s">
        <v>121</v>
      </c>
      <c r="C8" s="39">
        <f t="shared" si="0" ref="C8:N28">C6-C7</f>
        <v>0</v>
      </c>
      <c r="D8" s="39">
        <f t="shared" si="0"/>
        <v>0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0</v>
      </c>
      <c r="I8" s="39">
        <f t="shared" si="0"/>
        <v>0</v>
      </c>
      <c r="J8" s="39">
        <f t="shared" si="0"/>
        <v>0</v>
      </c>
      <c r="K8" s="39">
        <f t="shared" si="0"/>
        <v>0</v>
      </c>
      <c r="L8" s="39">
        <f t="shared" si="0"/>
        <v>0</v>
      </c>
      <c r="M8" s="39">
        <f t="shared" si="0"/>
        <v>0</v>
      </c>
      <c r="N8" s="39">
        <f t="shared" si="0"/>
        <v>0</v>
      </c>
    </row>
    <row r="9" spans="2:14" ht="15.75" customHeight="1">
      <c r="B9" s="36" t="s">
        <v>122</v>
      </c>
      <c r="C9" s="71">
        <v>1</v>
      </c>
      <c r="D9" s="71">
        <v>1</v>
      </c>
      <c r="E9" s="71">
        <v>1</v>
      </c>
      <c r="F9" s="71">
        <v>1</v>
      </c>
      <c r="G9" s="71">
        <v>1</v>
      </c>
      <c r="H9" s="71">
        <v>1</v>
      </c>
      <c r="I9" s="71">
        <v>1</v>
      </c>
      <c r="J9" s="71">
        <v>1</v>
      </c>
      <c r="K9" s="71">
        <v>1</v>
      </c>
      <c r="L9" s="71">
        <v>1</v>
      </c>
      <c r="M9" s="71">
        <v>1</v>
      </c>
      <c r="N9" s="71">
        <v>1</v>
      </c>
    </row>
    <row r="10" spans="2:14" ht="15.75" customHeight="1">
      <c r="B10" s="36" t="s">
        <v>123</v>
      </c>
      <c r="C10" s="71">
        <v>1</v>
      </c>
      <c r="D10" s="71">
        <v>1</v>
      </c>
      <c r="E10" s="71">
        <v>1</v>
      </c>
      <c r="F10" s="71">
        <v>1</v>
      </c>
      <c r="G10" s="71">
        <v>1</v>
      </c>
      <c r="H10" s="71">
        <v>1</v>
      </c>
      <c r="I10" s="71">
        <v>1</v>
      </c>
      <c r="J10" s="71">
        <v>1</v>
      </c>
      <c r="K10" s="71">
        <v>1</v>
      </c>
      <c r="L10" s="71">
        <v>1</v>
      </c>
      <c r="M10" s="71">
        <v>1</v>
      </c>
      <c r="N10" s="71">
        <v>1</v>
      </c>
    </row>
    <row r="11" spans="2:14" ht="15.75" customHeight="1">
      <c r="B11" s="34" t="s">
        <v>124</v>
      </c>
      <c r="C11" s="39">
        <f t="shared" si="1" ref="C11:N11">C7+C9+C10</f>
        <v>3</v>
      </c>
      <c r="D11" s="39">
        <f t="shared" si="1"/>
        <v>3</v>
      </c>
      <c r="E11" s="39">
        <f t="shared" si="1"/>
        <v>3</v>
      </c>
      <c r="F11" s="39">
        <f t="shared" si="1"/>
        <v>3</v>
      </c>
      <c r="G11" s="39">
        <f t="shared" si="1"/>
        <v>3</v>
      </c>
      <c r="H11" s="39">
        <f t="shared" si="1"/>
        <v>3</v>
      </c>
      <c r="I11" s="39">
        <f t="shared" si="1"/>
        <v>3</v>
      </c>
      <c r="J11" s="39">
        <f t="shared" si="1"/>
        <v>3</v>
      </c>
      <c r="K11" s="39">
        <f t="shared" si="1"/>
        <v>3</v>
      </c>
      <c r="L11" s="39">
        <f t="shared" si="1"/>
        <v>3</v>
      </c>
      <c r="M11" s="39">
        <f t="shared" si="1"/>
        <v>3</v>
      </c>
      <c r="N11" s="39">
        <f t="shared" si="1"/>
        <v>3</v>
      </c>
    </row>
    <row r="12" spans="2:14" ht="15" customHeight="1">
      <c r="B12" s="36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" customHeight="1">
      <c r="B13" s="34" t="s">
        <v>125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7"/>
    </row>
    <row r="14" spans="2:14" ht="15.75" customHeight="1">
      <c r="B14" s="36" t="s">
        <v>126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1</v>
      </c>
      <c r="L14" s="71">
        <v>1</v>
      </c>
      <c r="M14" s="71">
        <v>1</v>
      </c>
      <c r="N14" s="71">
        <v>1</v>
      </c>
    </row>
    <row r="15" spans="2:14" ht="15" customHeight="1">
      <c r="B15" s="36" t="s">
        <v>127</v>
      </c>
      <c r="C15" s="77">
        <v>1</v>
      </c>
      <c r="D15" s="77">
        <v>1</v>
      </c>
      <c r="E15" s="77">
        <v>1</v>
      </c>
      <c r="F15" s="77">
        <v>1</v>
      </c>
      <c r="G15" s="77">
        <v>1</v>
      </c>
      <c r="H15" s="77">
        <v>1</v>
      </c>
      <c r="I15" s="77">
        <v>1</v>
      </c>
      <c r="J15" s="77">
        <v>1</v>
      </c>
      <c r="K15" s="77">
        <v>1</v>
      </c>
      <c r="L15" s="77">
        <v>1</v>
      </c>
      <c r="M15" s="77">
        <v>1</v>
      </c>
      <c r="N15" s="81">
        <v>1</v>
      </c>
    </row>
    <row r="16" spans="2:14" ht="15.75" customHeight="1">
      <c r="B16" s="34" t="s">
        <v>128</v>
      </c>
      <c r="C16" s="79">
        <f t="shared" si="2" ref="C16:N16">C14+C15</f>
        <v>2</v>
      </c>
      <c r="D16" s="79">
        <f t="shared" si="2"/>
        <v>2</v>
      </c>
      <c r="E16" s="79">
        <f t="shared" si="2"/>
        <v>2</v>
      </c>
      <c r="F16" s="79">
        <f t="shared" si="2"/>
        <v>2</v>
      </c>
      <c r="G16" s="79">
        <f t="shared" si="2"/>
        <v>2</v>
      </c>
      <c r="H16" s="79">
        <f t="shared" si="2"/>
        <v>2</v>
      </c>
      <c r="I16" s="79">
        <f t="shared" si="2"/>
        <v>2</v>
      </c>
      <c r="J16" s="79">
        <f t="shared" si="2"/>
        <v>2</v>
      </c>
      <c r="K16" s="79">
        <f t="shared" si="2"/>
        <v>2</v>
      </c>
      <c r="L16" s="79">
        <f t="shared" si="2"/>
        <v>2</v>
      </c>
      <c r="M16" s="79">
        <f t="shared" si="2"/>
        <v>2</v>
      </c>
      <c r="N16" s="82">
        <f t="shared" si="2"/>
        <v>2</v>
      </c>
    </row>
    <row r="17" spans="2:14" ht="15" customHeight="1">
      <c r="B17" s="36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7"/>
    </row>
    <row r="18" spans="2:14" ht="15" customHeight="1">
      <c r="B18" s="34" t="s">
        <v>129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7"/>
    </row>
    <row r="19" spans="2:14" ht="15.75" customHeight="1">
      <c r="B19" s="36" t="s">
        <v>130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1</v>
      </c>
      <c r="L19" s="71">
        <v>1</v>
      </c>
      <c r="M19" s="71">
        <v>1</v>
      </c>
      <c r="N19" s="71">
        <v>1</v>
      </c>
    </row>
    <row r="20" spans="2:14" ht="15.75" customHeight="1">
      <c r="B20" s="36" t="s">
        <v>131</v>
      </c>
      <c r="C20" s="71">
        <v>1</v>
      </c>
      <c r="D20" s="71">
        <v>1</v>
      </c>
      <c r="E20" s="71">
        <v>1</v>
      </c>
      <c r="F20" s="71">
        <v>1</v>
      </c>
      <c r="G20" s="71">
        <v>1</v>
      </c>
      <c r="H20" s="71">
        <v>1</v>
      </c>
      <c r="I20" s="71">
        <v>1</v>
      </c>
      <c r="J20" s="71">
        <v>1</v>
      </c>
      <c r="K20" s="71">
        <v>1</v>
      </c>
      <c r="L20" s="71">
        <v>1</v>
      </c>
      <c r="M20" s="71">
        <v>1</v>
      </c>
      <c r="N20" s="71">
        <v>1</v>
      </c>
    </row>
    <row r="21" spans="2:14" ht="15" customHeight="1">
      <c r="B21" s="36" t="s">
        <v>132</v>
      </c>
      <c r="C21" s="77">
        <v>1</v>
      </c>
      <c r="D21" s="77">
        <v>1</v>
      </c>
      <c r="E21" s="77">
        <v>1</v>
      </c>
      <c r="F21" s="77">
        <v>1</v>
      </c>
      <c r="G21" s="77">
        <v>1</v>
      </c>
      <c r="H21" s="77">
        <v>1</v>
      </c>
      <c r="I21" s="77">
        <v>1</v>
      </c>
      <c r="J21" s="77">
        <v>1</v>
      </c>
      <c r="K21" s="77">
        <v>1</v>
      </c>
      <c r="L21" s="77">
        <v>1</v>
      </c>
      <c r="M21" s="77">
        <v>1</v>
      </c>
      <c r="N21" s="77">
        <v>1</v>
      </c>
    </row>
    <row r="22" spans="2:14" ht="15.75" customHeight="1">
      <c r="B22" s="34" t="s">
        <v>133</v>
      </c>
      <c r="C22" s="39">
        <f t="shared" si="3" ref="C22:N22">SUM(C19:C21)</f>
        <v>3</v>
      </c>
      <c r="D22" s="39">
        <f t="shared" si="3"/>
        <v>3</v>
      </c>
      <c r="E22" s="39">
        <f t="shared" si="3"/>
        <v>3</v>
      </c>
      <c r="F22" s="39">
        <f t="shared" si="3"/>
        <v>3</v>
      </c>
      <c r="G22" s="39">
        <f t="shared" si="3"/>
        <v>3</v>
      </c>
      <c r="H22" s="39">
        <f t="shared" si="3"/>
        <v>3</v>
      </c>
      <c r="I22" s="39">
        <f t="shared" si="3"/>
        <v>3</v>
      </c>
      <c r="J22" s="39">
        <f t="shared" si="3"/>
        <v>3</v>
      </c>
      <c r="K22" s="39">
        <f t="shared" si="3"/>
        <v>3</v>
      </c>
      <c r="L22" s="39">
        <f t="shared" si="3"/>
        <v>3</v>
      </c>
      <c r="M22" s="39">
        <f t="shared" si="3"/>
        <v>3</v>
      </c>
      <c r="N22" s="39">
        <f t="shared" si="3"/>
        <v>3</v>
      </c>
    </row>
    <row r="23" spans="2:14" ht="15" customHeight="1"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7"/>
    </row>
    <row r="24" spans="2:14" ht="15" customHeight="1">
      <c r="B24" s="34" t="s">
        <v>134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7"/>
    </row>
    <row r="25" spans="2:14" ht="15.75" customHeight="1">
      <c r="B25" s="34" t="s">
        <v>82</v>
      </c>
      <c r="C25" s="39">
        <f t="shared" si="4" ref="C25:N25">C11+C16+C22</f>
        <v>8</v>
      </c>
      <c r="D25" s="39">
        <f t="shared" si="4"/>
        <v>8</v>
      </c>
      <c r="E25" s="39">
        <f t="shared" si="4"/>
        <v>8</v>
      </c>
      <c r="F25" s="39">
        <f t="shared" si="4"/>
        <v>8</v>
      </c>
      <c r="G25" s="39">
        <f t="shared" si="4"/>
        <v>8</v>
      </c>
      <c r="H25" s="39">
        <f t="shared" si="4"/>
        <v>8</v>
      </c>
      <c r="I25" s="39">
        <f t="shared" si="4"/>
        <v>8</v>
      </c>
      <c r="J25" s="39">
        <f t="shared" si="4"/>
        <v>8</v>
      </c>
      <c r="K25" s="39">
        <f t="shared" si="4"/>
        <v>8</v>
      </c>
      <c r="L25" s="39">
        <f t="shared" si="4"/>
        <v>8</v>
      </c>
      <c r="M25" s="39">
        <f t="shared" si="4"/>
        <v>8</v>
      </c>
      <c r="N25" s="39">
        <f t="shared" si="4"/>
        <v>8</v>
      </c>
    </row>
    <row r="26" spans="2:14" ht="15.75" customHeight="1">
      <c r="B26" s="36" t="s">
        <v>135</v>
      </c>
      <c r="C26" s="72" cm="1">
        <f t="array" ref="C26">BS!C6</f>
        <v>1</v>
      </c>
      <c r="D26" s="72" cm="1">
        <f t="array" ref="D26">BS!D6</f>
        <v>1</v>
      </c>
      <c r="E26" s="72" cm="1">
        <f t="array" ref="E26">BS!E6</f>
        <v>1</v>
      </c>
      <c r="F26" s="72" cm="1">
        <f t="array" ref="F26">BS!F6</f>
        <v>1</v>
      </c>
      <c r="G26" s="72" cm="1">
        <f t="array" ref="G26">BS!G6</f>
        <v>1</v>
      </c>
      <c r="H26" s="72" cm="1">
        <f t="array" ref="H26">BS!H6</f>
        <v>1</v>
      </c>
      <c r="I26" s="72" cm="1">
        <f t="array" ref="I26">BS!I6</f>
        <v>1</v>
      </c>
      <c r="J26" s="72" cm="1">
        <f t="array" ref="J26">BS!J6</f>
        <v>1</v>
      </c>
      <c r="K26" s="72" cm="1">
        <f t="array" ref="K26">BS!K6</f>
        <v>1</v>
      </c>
      <c r="L26" s="72" cm="1">
        <f t="array" ref="L26">BS!L6</f>
        <v>1</v>
      </c>
      <c r="M26" s="72" cm="1">
        <f t="array" ref="M26">BS!M6</f>
        <v>1</v>
      </c>
      <c r="N26" s="78" cm="1">
        <f t="array" ref="N26">BS!N6</f>
        <v>1</v>
      </c>
    </row>
    <row r="27" spans="2:14" ht="15.75" customHeight="1">
      <c r="B27" s="34" t="s">
        <v>83</v>
      </c>
      <c r="C27" s="39">
        <f t="shared" si="0"/>
        <v>7</v>
      </c>
      <c r="D27" s="39">
        <f t="shared" si="0"/>
        <v>7</v>
      </c>
      <c r="E27" s="39">
        <f t="shared" si="0"/>
        <v>7</v>
      </c>
      <c r="F27" s="39">
        <f t="shared" si="0"/>
        <v>7</v>
      </c>
      <c r="G27" s="39">
        <f t="shared" si="0"/>
        <v>7</v>
      </c>
      <c r="H27" s="39">
        <f t="shared" si="0"/>
        <v>7</v>
      </c>
      <c r="I27" s="39">
        <f t="shared" si="0"/>
        <v>7</v>
      </c>
      <c r="J27" s="39">
        <f t="shared" si="0"/>
        <v>7</v>
      </c>
      <c r="K27" s="39">
        <f t="shared" si="0"/>
        <v>7</v>
      </c>
      <c r="L27" s="39">
        <f t="shared" si="0"/>
        <v>7</v>
      </c>
      <c r="M27" s="39">
        <f t="shared" si="0"/>
        <v>7</v>
      </c>
      <c r="N27" s="39">
        <f t="shared" si="0"/>
        <v>7</v>
      </c>
    </row>
    <row r="28" spans="2:14" ht="15" customHeight="1">
      <c r="B28" s="36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7"/>
    </row>
    <row r="29" spans="2:14" ht="15" customHeight="1">
      <c r="B29" s="34" t="s">
        <v>136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7"/>
    </row>
    <row r="30" spans="2:14" ht="15.75" customHeight="1">
      <c r="B30" s="36" t="s">
        <v>137</v>
      </c>
      <c r="C30" s="83">
        <v>1</v>
      </c>
      <c r="D30" s="83">
        <v>1</v>
      </c>
      <c r="E30" s="83">
        <v>1</v>
      </c>
      <c r="F30" s="83">
        <v>1</v>
      </c>
      <c r="G30" s="83">
        <v>1</v>
      </c>
      <c r="H30" s="83">
        <v>1</v>
      </c>
      <c r="I30" s="83">
        <v>1</v>
      </c>
      <c r="J30" s="83">
        <v>1</v>
      </c>
      <c r="K30" s="83">
        <v>1</v>
      </c>
      <c r="L30" s="83">
        <v>1</v>
      </c>
      <c r="M30" s="83">
        <v>1</v>
      </c>
      <c r="N30" s="83">
        <v>1</v>
      </c>
    </row>
    <row r="31" spans="2:14" ht="15.75" customHeight="1">
      <c r="B31" s="36" t="s">
        <v>138</v>
      </c>
      <c r="C31" s="83">
        <v>1</v>
      </c>
      <c r="D31" s="83">
        <v>1</v>
      </c>
      <c r="E31" s="83">
        <v>1</v>
      </c>
      <c r="F31" s="83">
        <v>1</v>
      </c>
      <c r="G31" s="83">
        <v>1</v>
      </c>
      <c r="H31" s="83">
        <v>1</v>
      </c>
      <c r="I31" s="83">
        <v>1</v>
      </c>
      <c r="J31" s="83">
        <v>1</v>
      </c>
      <c r="K31" s="83">
        <v>1</v>
      </c>
      <c r="L31" s="83">
        <v>1</v>
      </c>
      <c r="M31" s="83">
        <v>1</v>
      </c>
      <c r="N31" s="83">
        <v>1</v>
      </c>
    </row>
    <row r="32" spans="2:14" ht="15.75" customHeight="1">
      <c r="B32" s="36" t="s">
        <v>139</v>
      </c>
      <c r="C32" s="83">
        <v>1</v>
      </c>
      <c r="D32" s="83">
        <v>1</v>
      </c>
      <c r="E32" s="83">
        <v>1</v>
      </c>
      <c r="F32" s="83">
        <v>1</v>
      </c>
      <c r="G32" s="83">
        <v>1</v>
      </c>
      <c r="H32" s="83">
        <v>1</v>
      </c>
      <c r="I32" s="83">
        <v>1</v>
      </c>
      <c r="J32" s="83">
        <v>1</v>
      </c>
      <c r="K32" s="83">
        <v>1</v>
      </c>
      <c r="L32" s="83">
        <v>1</v>
      </c>
      <c r="M32" s="83">
        <v>1</v>
      </c>
      <c r="N32" s="83">
        <v>1</v>
      </c>
    </row>
    <row r="33" spans="2:14" ht="15.75" customHeight="1">
      <c r="B33" s="36" t="s">
        <v>140</v>
      </c>
      <c r="C33" s="84">
        <f t="shared" si="5" ref="C33:N33">(C7*C30+C9*C31+C10*C32)/C11</f>
        <v>1</v>
      </c>
      <c r="D33" s="84">
        <f t="shared" si="5"/>
        <v>1</v>
      </c>
      <c r="E33" s="84">
        <f t="shared" si="5"/>
        <v>1</v>
      </c>
      <c r="F33" s="84">
        <f t="shared" si="5"/>
        <v>1</v>
      </c>
      <c r="G33" s="84">
        <f t="shared" si="5"/>
        <v>1</v>
      </c>
      <c r="H33" s="84">
        <f t="shared" si="5"/>
        <v>1</v>
      </c>
      <c r="I33" s="84">
        <f t="shared" si="5"/>
        <v>1</v>
      </c>
      <c r="J33" s="84">
        <f t="shared" si="5"/>
        <v>1</v>
      </c>
      <c r="K33" s="84">
        <f t="shared" si="5"/>
        <v>1</v>
      </c>
      <c r="L33" s="84">
        <f t="shared" si="5"/>
        <v>1</v>
      </c>
      <c r="M33" s="84">
        <f t="shared" si="5"/>
        <v>1</v>
      </c>
      <c r="N33" s="85">
        <f t="shared" si="5"/>
        <v>1</v>
      </c>
    </row>
  </sheetData>
  <pageMargins left="0.7" right="0.7" top="0.75" bottom="0.75" header="0.3" footer="0.3"/>
  <pageSetup orientation="portrait" paperSize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263F3-C1BE-4708-3292-1A685F388804}">
  <dimension ref="B2:E35"/>
  <sheetViews>
    <sheetView showGridLines="0" workbookViewId="0" topLeftCell="A1">
      <selection pane="topLeft" activeCell="A1" sqref="A1:XFD1048576"/>
    </sheetView>
  </sheetViews>
  <sheetFormatPr defaultColWidth="7.755" defaultRowHeight="15" customHeight="1"/>
  <cols>
    <col min="1" max="1" width="7.75" style="1"/>
    <col min="2" max="2" width="15" style="1" customWidth="1"/>
    <col min="3" max="3" width="22.5" style="1" customWidth="1"/>
    <col min="4" max="4" width="47.5" style="1" customWidth="1"/>
    <col min="5" max="5" width="12.5" style="1" customWidth="1"/>
    <col min="6" max="16384" width="7.75" style="1"/>
  </cols>
  <sheetData>
    <row r="2" spans="2:2" ht="18" customHeight="1">
      <c r="B2" s="21" t="s">
        <v>141</v>
      </c>
    </row>
    <row r="4" spans="2:5" ht="15" customHeight="1" thickBot="1">
      <c r="B4" s="33" t="s">
        <v>142</v>
      </c>
      <c r="C4" s="33" t="s">
        <v>143</v>
      </c>
      <c r="D4" s="33" t="s">
        <v>10</v>
      </c>
      <c r="E4" s="33" t="s">
        <v>144</v>
      </c>
    </row>
    <row r="5" spans="2:5" ht="15" customHeight="1">
      <c r="B5" s="47" t="s">
        <v>145</v>
      </c>
      <c r="C5" s="36" t="s">
        <v>12</v>
      </c>
      <c r="D5" s="36" t="s">
        <v>146</v>
      </c>
      <c r="E5" s="48" t="s">
        <v>147</v>
      </c>
    </row>
    <row r="6" spans="2:5" ht="15" customHeight="1">
      <c r="B6" s="47" t="s">
        <v>148</v>
      </c>
      <c r="C6" s="36" t="s">
        <v>13</v>
      </c>
      <c r="D6" s="36" t="s">
        <v>149</v>
      </c>
      <c r="E6" s="48" t="s">
        <v>147</v>
      </c>
    </row>
    <row r="7" spans="2:5" ht="15" customHeight="1">
      <c r="B7" s="47" t="s">
        <v>150</v>
      </c>
      <c r="C7" s="36" t="s">
        <v>14</v>
      </c>
      <c r="D7" s="36" t="s">
        <v>151</v>
      </c>
      <c r="E7" s="48" t="s">
        <v>147</v>
      </c>
    </row>
    <row r="8" spans="2:5" ht="15" customHeight="1">
      <c r="B8" s="47" t="s">
        <v>152</v>
      </c>
      <c r="C8" s="36" t="s">
        <v>15</v>
      </c>
      <c r="D8" s="36" t="s">
        <v>153</v>
      </c>
      <c r="E8" s="48" t="s">
        <v>147</v>
      </c>
    </row>
    <row r="9" spans="2:5" ht="15" customHeight="1">
      <c r="B9" s="47" t="s">
        <v>154</v>
      </c>
      <c r="C9" s="36" t="s">
        <v>155</v>
      </c>
      <c r="D9" s="36" t="s">
        <v>156</v>
      </c>
      <c r="E9" s="48" t="s">
        <v>147</v>
      </c>
    </row>
    <row r="10" spans="2:5" ht="15" customHeight="1">
      <c r="B10" s="47" t="s">
        <v>157</v>
      </c>
      <c r="C10" s="36" t="s">
        <v>158</v>
      </c>
      <c r="D10" s="36" t="s">
        <v>159</v>
      </c>
      <c r="E10" s="48" t="s">
        <v>147</v>
      </c>
    </row>
    <row r="11" spans="2:5" ht="15" customHeight="1">
      <c r="B11" s="47" t="s">
        <v>160</v>
      </c>
      <c r="C11" s="36" t="s">
        <v>161</v>
      </c>
      <c r="D11" s="36" t="s">
        <v>162</v>
      </c>
      <c r="E11" s="48" t="s">
        <v>147</v>
      </c>
    </row>
    <row r="12" spans="2:5" ht="15" customHeight="1">
      <c r="B12" s="47" t="s">
        <v>163</v>
      </c>
      <c r="C12" s="36" t="s">
        <v>16</v>
      </c>
      <c r="D12" s="36" t="s">
        <v>164</v>
      </c>
      <c r="E12" s="48" t="s">
        <v>147</v>
      </c>
    </row>
    <row r="13" spans="2:5" ht="15" customHeight="1">
      <c r="B13" s="47" t="s">
        <v>165</v>
      </c>
      <c r="C13" s="36" t="s">
        <v>166</v>
      </c>
      <c r="D13" s="36" t="s">
        <v>167</v>
      </c>
      <c r="E13" s="48" t="s">
        <v>147</v>
      </c>
    </row>
    <row r="14" spans="2:5" ht="15" customHeight="1">
      <c r="B14" s="47" t="s">
        <v>168</v>
      </c>
      <c r="C14" s="36" t="s">
        <v>169</v>
      </c>
      <c r="D14" s="36" t="s">
        <v>170</v>
      </c>
      <c r="E14" s="48" t="s">
        <v>147</v>
      </c>
    </row>
    <row r="15" spans="2:5" ht="15" customHeight="1">
      <c r="B15" s="47" t="s">
        <v>171</v>
      </c>
      <c r="C15" s="36" t="s">
        <v>172</v>
      </c>
      <c r="D15" s="36" t="s">
        <v>173</v>
      </c>
      <c r="E15" s="49" t="s">
        <v>174</v>
      </c>
    </row>
    <row r="16" spans="2:5" ht="15" customHeight="1">
      <c r="B16" s="47" t="s">
        <v>175</v>
      </c>
      <c r="C16" s="36" t="s">
        <v>176</v>
      </c>
      <c r="D16" s="36" t="s">
        <v>177</v>
      </c>
      <c r="E16" s="49" t="s">
        <v>174</v>
      </c>
    </row>
    <row r="17" spans="2:5" ht="15" customHeight="1">
      <c r="B17" s="47" t="s">
        <v>178</v>
      </c>
      <c r="C17" s="36" t="s">
        <v>179</v>
      </c>
      <c r="D17" s="36" t="s">
        <v>180</v>
      </c>
      <c r="E17" s="49" t="s">
        <v>174</v>
      </c>
    </row>
    <row r="18" spans="2:5" ht="15" customHeight="1">
      <c r="B18" s="47" t="s">
        <v>181</v>
      </c>
      <c r="C18" s="36" t="s">
        <v>182</v>
      </c>
      <c r="D18" s="36" t="s">
        <v>183</v>
      </c>
      <c r="E18" s="49" t="s">
        <v>174</v>
      </c>
    </row>
    <row r="19" spans="2:5" ht="15" customHeight="1">
      <c r="B19" s="47" t="s">
        <v>184</v>
      </c>
      <c r="C19" s="36" t="s">
        <v>185</v>
      </c>
      <c r="D19" s="36" t="s">
        <v>186</v>
      </c>
      <c r="E19" s="49" t="s">
        <v>174</v>
      </c>
    </row>
    <row r="20" spans="2:5" ht="15" customHeight="1">
      <c r="B20" s="47" t="s">
        <v>187</v>
      </c>
      <c r="C20" s="36" t="s">
        <v>188</v>
      </c>
      <c r="D20" s="36" t="s">
        <v>189</v>
      </c>
      <c r="E20" s="50" t="s">
        <v>190</v>
      </c>
    </row>
    <row r="21" spans="2:5" ht="15" customHeight="1">
      <c r="B21" s="47" t="s">
        <v>191</v>
      </c>
      <c r="C21" s="36" t="s">
        <v>192</v>
      </c>
      <c r="D21" s="36" t="s">
        <v>193</v>
      </c>
      <c r="E21" s="48" t="s">
        <v>147</v>
      </c>
    </row>
    <row r="22" spans="2:5" ht="15" customHeight="1">
      <c r="B22" s="47" t="s">
        <v>194</v>
      </c>
      <c r="C22" s="36" t="s">
        <v>195</v>
      </c>
      <c r="D22" s="36" t="s">
        <v>196</v>
      </c>
      <c r="E22" s="50" t="s">
        <v>190</v>
      </c>
    </row>
    <row r="23" spans="2:5" ht="15" customHeight="1">
      <c r="B23" s="47" t="s">
        <v>197</v>
      </c>
      <c r="C23" s="36" t="s">
        <v>198</v>
      </c>
      <c r="D23" s="36" t="s">
        <v>199</v>
      </c>
      <c r="E23" s="51" t="s">
        <v>200</v>
      </c>
    </row>
    <row r="24" spans="2:5" ht="15" customHeight="1">
      <c r="B24" s="52" t="s">
        <v>201</v>
      </c>
      <c r="C24" s="36" t="s">
        <v>202</v>
      </c>
      <c r="D24" s="36" t="s">
        <v>203</v>
      </c>
      <c r="E24" s="51" t="s">
        <v>200</v>
      </c>
    </row>
    <row r="25" spans="2:5" ht="15" customHeight="1">
      <c r="B25" s="47" t="s">
        <v>204</v>
      </c>
      <c r="C25" s="36" t="s">
        <v>205</v>
      </c>
      <c r="D25" s="36" t="s">
        <v>206</v>
      </c>
      <c r="E25" s="51" t="s">
        <v>200</v>
      </c>
    </row>
    <row r="26" spans="2:5" ht="15" customHeight="1">
      <c r="B26" s="47" t="s">
        <v>207</v>
      </c>
      <c r="C26" s="36" t="s">
        <v>208</v>
      </c>
      <c r="D26" s="36" t="s">
        <v>209</v>
      </c>
      <c r="E26" s="51" t="s">
        <v>200</v>
      </c>
    </row>
    <row r="28" spans="2:5" ht="15" customHeight="1">
      <c r="B28" s="47" t="s">
        <v>210</v>
      </c>
      <c r="C28" s="36" t="s">
        <v>211</v>
      </c>
      <c r="D28" s="36" t="s">
        <v>212</v>
      </c>
      <c r="E28" s="48" t="s">
        <v>147</v>
      </c>
    </row>
    <row r="29" spans="2:5" ht="15" customHeight="1">
      <c r="B29" s="47" t="s">
        <v>213</v>
      </c>
      <c r="C29" s="36" t="s">
        <v>214</v>
      </c>
      <c r="D29" s="36" t="s">
        <v>215</v>
      </c>
      <c r="E29" s="48" t="s">
        <v>147</v>
      </c>
    </row>
    <row r="30" spans="2:5" ht="15" customHeight="1">
      <c r="B30" s="47" t="s">
        <v>216</v>
      </c>
      <c r="C30" s="36" t="s">
        <v>217</v>
      </c>
      <c r="D30" s="36" t="s">
        <v>218</v>
      </c>
      <c r="E30" s="48" t="s">
        <v>147</v>
      </c>
    </row>
    <row r="31" spans="2:5" ht="15" customHeight="1">
      <c r="B31" s="47" t="s">
        <v>219</v>
      </c>
      <c r="C31" s="36" t="s">
        <v>220</v>
      </c>
      <c r="D31" s="36" t="s">
        <v>221</v>
      </c>
      <c r="E31" s="48" t="s">
        <v>147</v>
      </c>
    </row>
    <row r="32" spans="2:5" ht="15" customHeight="1">
      <c r="B32" s="47" t="s">
        <v>222</v>
      </c>
      <c r="C32" s="36" t="s">
        <v>223</v>
      </c>
      <c r="D32" s="36" t="s">
        <v>224</v>
      </c>
      <c r="E32" s="49" t="s">
        <v>174</v>
      </c>
    </row>
    <row r="33" spans="2:5" ht="15" customHeight="1">
      <c r="B33" s="47" t="s">
        <v>225</v>
      </c>
      <c r="C33" s="36" t="s">
        <v>226</v>
      </c>
      <c r="D33" s="36" t="s">
        <v>227</v>
      </c>
      <c r="E33" s="48" t="s">
        <v>147</v>
      </c>
    </row>
    <row r="35" spans="2:2" ht="13.5" customHeight="1">
      <c r="B35" s="53" t="s">
        <v>228</v>
      </c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833D5E-29A8-F0FD-42F4-B541523FB318}">
  <dimension ref="B2:E99"/>
  <sheetViews>
    <sheetView workbookViewId="0" topLeftCell="A1">
      <selection pane="topLeft" activeCell="B3" sqref="B3"/>
    </sheetView>
  </sheetViews>
  <sheetFormatPr defaultColWidth="7.755" defaultRowHeight="15" customHeight="1"/>
  <cols>
    <col min="1" max="1" width="7.75" style="1"/>
    <col min="2" max="2" width="15" style="1" customWidth="1"/>
    <col min="3" max="3" width="25" style="1" customWidth="1"/>
    <col min="4" max="4" width="18.75" style="1" customWidth="1"/>
    <col min="5" max="5" width="50" style="1" customWidth="1"/>
    <col min="6" max="16384" width="7.75" style="1"/>
  </cols>
  <sheetData>
    <row r="2" spans="2:2" ht="18" customHeight="1">
      <c r="B2" s="21" t="s">
        <v>229</v>
      </c>
    </row>
    <row r="3" spans="2:2" ht="15" customHeight="1">
      <c r="B3" s="22" t="s">
        <v>1</v>
      </c>
    </row>
    <row r="5" spans="2:5" ht="15" customHeight="1">
      <c r="B5" s="23" t="s">
        <v>230</v>
      </c>
      <c r="C5" s="23" t="s">
        <v>231</v>
      </c>
      <c r="D5" s="23" t="s">
        <v>232</v>
      </c>
      <c r="E5" s="23" t="s">
        <v>10</v>
      </c>
    </row>
    <row r="6" spans="2:5" ht="15" customHeight="1">
      <c r="B6" s="54" t="s">
        <v>233</v>
      </c>
      <c r="C6" s="54" t="s">
        <v>2</v>
      </c>
      <c r="D6" s="54" t="s">
        <v>234</v>
      </c>
      <c r="E6" s="54" t="s">
        <v>235</v>
      </c>
    </row>
    <row r="7" spans="2:5" ht="15" customHeight="1">
      <c r="B7" s="54" t="s">
        <v>233</v>
      </c>
      <c r="C7" s="54" t="s">
        <v>236</v>
      </c>
      <c r="D7" s="54" t="s">
        <v>237</v>
      </c>
      <c r="E7" s="54" t="s">
        <v>238</v>
      </c>
    </row>
    <row r="8" spans="2:5" ht="15" customHeight="1">
      <c r="B8" s="54" t="s">
        <v>233</v>
      </c>
      <c r="C8" s="54" t="s">
        <v>4</v>
      </c>
      <c r="D8" s="54" t="s">
        <v>239</v>
      </c>
      <c r="E8" s="54" t="s">
        <v>240</v>
      </c>
    </row>
    <row r="9" spans="2:5" ht="15" customHeight="1">
      <c r="B9" s="54" t="s">
        <v>233</v>
      </c>
      <c r="C9" s="54" t="s">
        <v>241</v>
      </c>
      <c r="D9" s="54" t="s">
        <v>242</v>
      </c>
      <c r="E9" s="54" t="s">
        <v>243</v>
      </c>
    </row>
    <row r="10" spans="2:5" ht="15" customHeight="1">
      <c r="B10" s="54" t="s">
        <v>233</v>
      </c>
      <c r="C10" s="54" t="s">
        <v>6</v>
      </c>
      <c r="D10" s="54" t="s">
        <v>244</v>
      </c>
      <c r="E10" s="54" t="s">
        <v>245</v>
      </c>
    </row>
    <row r="11" spans="2:5" ht="15" customHeight="1">
      <c r="B11" s="54" t="s">
        <v>233</v>
      </c>
      <c r="C11" s="54" t="s">
        <v>246</v>
      </c>
      <c r="D11" s="54" t="s">
        <v>247</v>
      </c>
      <c r="E11" s="54" t="s">
        <v>248</v>
      </c>
    </row>
    <row r="12" spans="2:5" ht="15" customHeight="1">
      <c r="B12" s="54" t="s">
        <v>233</v>
      </c>
      <c r="C12" s="54" t="s">
        <v>249</v>
      </c>
      <c r="D12" s="54" t="s">
        <v>250</v>
      </c>
      <c r="E12" s="54" t="s">
        <v>251</v>
      </c>
    </row>
    <row r="13" spans="2:5" ht="15" customHeight="1">
      <c r="B13" s="54" t="s">
        <v>233</v>
      </c>
      <c r="C13" s="54" t="s">
        <v>252</v>
      </c>
      <c r="D13" s="54" t="s">
        <v>253</v>
      </c>
      <c r="E13" s="54" t="s">
        <v>254</v>
      </c>
    </row>
    <row r="14" spans="2:5" ht="15" customHeight="1">
      <c r="B14" s="54" t="s">
        <v>233</v>
      </c>
      <c r="C14" s="54" t="s">
        <v>255</v>
      </c>
      <c r="D14" s="54" t="s">
        <v>256</v>
      </c>
      <c r="E14" s="54" t="s">
        <v>257</v>
      </c>
    </row>
    <row r="15" spans="2:5" ht="15" customHeight="1">
      <c r="B15" s="54" t="s">
        <v>233</v>
      </c>
      <c r="C15" s="54" t="s">
        <v>19</v>
      </c>
      <c r="D15" s="54" t="s">
        <v>258</v>
      </c>
      <c r="E15" s="54" t="s">
        <v>259</v>
      </c>
    </row>
    <row r="16" spans="2:5" ht="15" customHeight="1">
      <c r="B16" s="54" t="s">
        <v>233</v>
      </c>
      <c r="C16" s="54" t="s">
        <v>260</v>
      </c>
      <c r="D16" s="54" t="s">
        <v>261</v>
      </c>
      <c r="E16" s="54" t="s">
        <v>262</v>
      </c>
    </row>
    <row r="17" spans="2:5" ht="15" customHeight="1">
      <c r="B17" s="54" t="s">
        <v>233</v>
      </c>
      <c r="C17" s="54" t="s">
        <v>20</v>
      </c>
      <c r="D17" s="54" t="s">
        <v>263</v>
      </c>
      <c r="E17" s="54" t="s">
        <v>264</v>
      </c>
    </row>
    <row r="18" spans="2:5" ht="15" customHeight="1">
      <c r="B18" s="54" t="s">
        <v>233</v>
      </c>
      <c r="C18" s="54" t="s">
        <v>265</v>
      </c>
      <c r="D18" s="54" t="s">
        <v>266</v>
      </c>
      <c r="E18" s="54" t="s">
        <v>267</v>
      </c>
    </row>
    <row r="19" spans="2:5" ht="15" customHeight="1">
      <c r="B19" s="54" t="s">
        <v>233</v>
      </c>
      <c r="C19" s="54" t="s">
        <v>22</v>
      </c>
      <c r="D19" s="54" t="s">
        <v>268</v>
      </c>
      <c r="E19" s="54" t="s">
        <v>269</v>
      </c>
    </row>
    <row r="20" spans="2:5" ht="15" customHeight="1">
      <c r="B20" s="54" t="s">
        <v>233</v>
      </c>
      <c r="C20" s="54" t="s">
        <v>270</v>
      </c>
      <c r="D20" s="54" t="s">
        <v>271</v>
      </c>
      <c r="E20" s="54" t="s">
        <v>272</v>
      </c>
    </row>
    <row r="21" spans="2:5" ht="15" customHeight="1">
      <c r="B21" s="54" t="s">
        <v>233</v>
      </c>
      <c r="C21" s="54" t="s">
        <v>273</v>
      </c>
      <c r="D21" s="54" t="s">
        <v>274</v>
      </c>
      <c r="E21" s="54" t="s">
        <v>275</v>
      </c>
    </row>
    <row r="22" spans="2:5" ht="15" customHeight="1">
      <c r="B22" s="54" t="s">
        <v>233</v>
      </c>
      <c r="C22" s="54" t="s">
        <v>276</v>
      </c>
      <c r="D22" s="54" t="s">
        <v>277</v>
      </c>
      <c r="E22" s="54" t="s">
        <v>278</v>
      </c>
    </row>
    <row r="24" spans="2:5" ht="15" customHeight="1">
      <c r="B24" s="54" t="s">
        <v>279</v>
      </c>
      <c r="C24" s="54" t="s">
        <v>29</v>
      </c>
      <c r="D24" s="54" t="s">
        <v>280</v>
      </c>
      <c r="E24" s="54" t="s">
        <v>281</v>
      </c>
    </row>
    <row r="25" spans="2:5" ht="15" customHeight="1">
      <c r="B25" s="54" t="s">
        <v>279</v>
      </c>
      <c r="C25" s="54" t="s">
        <v>282</v>
      </c>
      <c r="D25" s="54" t="s">
        <v>283</v>
      </c>
      <c r="E25" s="54" t="s">
        <v>284</v>
      </c>
    </row>
    <row r="26" spans="2:5" ht="15" customHeight="1">
      <c r="B26" s="54" t="s">
        <v>279</v>
      </c>
      <c r="C26" s="54" t="s">
        <v>30</v>
      </c>
      <c r="D26" s="54" t="s">
        <v>285</v>
      </c>
      <c r="E26" s="54" t="s">
        <v>286</v>
      </c>
    </row>
    <row r="27" spans="2:5" ht="15" customHeight="1">
      <c r="B27" s="54" t="s">
        <v>279</v>
      </c>
      <c r="C27" s="54" t="s">
        <v>287</v>
      </c>
      <c r="D27" s="54" t="s">
        <v>288</v>
      </c>
      <c r="E27" s="54" t="s">
        <v>289</v>
      </c>
    </row>
    <row r="28" spans="2:5" ht="15" customHeight="1">
      <c r="B28" s="54" t="s">
        <v>279</v>
      </c>
      <c r="C28" s="54" t="s">
        <v>31</v>
      </c>
      <c r="D28" s="54" t="s">
        <v>290</v>
      </c>
      <c r="E28" s="54" t="s">
        <v>291</v>
      </c>
    </row>
    <row r="29" spans="2:5" ht="15" customHeight="1">
      <c r="B29" s="54" t="s">
        <v>279</v>
      </c>
      <c r="C29" s="54" t="s">
        <v>292</v>
      </c>
      <c r="D29" s="54" t="s">
        <v>293</v>
      </c>
      <c r="E29" s="54" t="s">
        <v>294</v>
      </c>
    </row>
    <row r="30" spans="2:5" ht="15" customHeight="1">
      <c r="B30" s="54" t="s">
        <v>279</v>
      </c>
      <c r="C30" s="54" t="s">
        <v>32</v>
      </c>
      <c r="D30" s="54" t="s">
        <v>295</v>
      </c>
      <c r="E30" s="54" t="s">
        <v>296</v>
      </c>
    </row>
    <row r="31" spans="2:5" ht="15" customHeight="1">
      <c r="B31" s="54" t="s">
        <v>279</v>
      </c>
      <c r="C31" s="54" t="s">
        <v>297</v>
      </c>
      <c r="D31" s="54" t="s">
        <v>298</v>
      </c>
      <c r="E31" s="54" t="s">
        <v>299</v>
      </c>
    </row>
    <row r="32" spans="2:5" ht="15" customHeight="1">
      <c r="B32" s="54" t="s">
        <v>279</v>
      </c>
      <c r="C32" s="54" t="s">
        <v>34</v>
      </c>
      <c r="D32" s="54" t="s">
        <v>300</v>
      </c>
      <c r="E32" s="54" t="s">
        <v>301</v>
      </c>
    </row>
    <row r="33" spans="2:5" ht="15" customHeight="1">
      <c r="B33" s="54" t="s">
        <v>279</v>
      </c>
      <c r="C33" s="54" t="s">
        <v>302</v>
      </c>
      <c r="D33" s="54" t="s">
        <v>303</v>
      </c>
      <c r="E33" s="54" t="s">
        <v>304</v>
      </c>
    </row>
    <row r="34" spans="2:5" ht="15" customHeight="1">
      <c r="B34" s="54" t="s">
        <v>279</v>
      </c>
      <c r="C34" s="54" t="s">
        <v>35</v>
      </c>
      <c r="D34" s="54" t="s">
        <v>305</v>
      </c>
      <c r="E34" s="54" t="s">
        <v>306</v>
      </c>
    </row>
    <row r="35" spans="2:5" ht="15" customHeight="1">
      <c r="B35" s="54" t="s">
        <v>279</v>
      </c>
      <c r="C35" s="54" t="s">
        <v>307</v>
      </c>
      <c r="D35" s="54" t="s">
        <v>308</v>
      </c>
      <c r="E35" s="54" t="s">
        <v>309</v>
      </c>
    </row>
    <row r="36" spans="2:5" ht="15" customHeight="1">
      <c r="B36" s="54" t="s">
        <v>279</v>
      </c>
      <c r="C36" s="54" t="s">
        <v>36</v>
      </c>
      <c r="D36" s="54" t="s">
        <v>310</v>
      </c>
      <c r="E36" s="54" t="s">
        <v>311</v>
      </c>
    </row>
    <row r="37" spans="2:5" ht="15" customHeight="1">
      <c r="B37" s="54" t="s">
        <v>279</v>
      </c>
      <c r="C37" s="54" t="s">
        <v>312</v>
      </c>
      <c r="D37" s="54" t="s">
        <v>313</v>
      </c>
      <c r="E37" s="54" t="s">
        <v>314</v>
      </c>
    </row>
    <row r="38" spans="2:5" ht="15" customHeight="1">
      <c r="B38" s="54" t="s">
        <v>279</v>
      </c>
      <c r="C38" s="54" t="s">
        <v>39</v>
      </c>
      <c r="D38" s="54" t="s">
        <v>315</v>
      </c>
      <c r="E38" s="54" t="s">
        <v>316</v>
      </c>
    </row>
    <row r="39" spans="2:5" ht="15" customHeight="1">
      <c r="B39" s="54" t="s">
        <v>279</v>
      </c>
      <c r="C39" s="54" t="s">
        <v>317</v>
      </c>
      <c r="D39" s="54" t="s">
        <v>318</v>
      </c>
      <c r="E39" s="54" t="s">
        <v>319</v>
      </c>
    </row>
    <row r="40" spans="2:5" ht="15" customHeight="1">
      <c r="B40" s="54" t="s">
        <v>279</v>
      </c>
      <c r="C40" s="54" t="s">
        <v>40</v>
      </c>
      <c r="D40" s="54" t="s">
        <v>320</v>
      </c>
      <c r="E40" s="54" t="s">
        <v>321</v>
      </c>
    </row>
    <row r="41" spans="2:5" ht="15" customHeight="1">
      <c r="B41" s="54" t="s">
        <v>279</v>
      </c>
      <c r="C41" s="54" t="s">
        <v>322</v>
      </c>
      <c r="D41" s="54" t="s">
        <v>323</v>
      </c>
      <c r="E41" s="54" t="s">
        <v>324</v>
      </c>
    </row>
    <row r="42" spans="2:5" ht="15" customHeight="1">
      <c r="B42" s="54" t="s">
        <v>279</v>
      </c>
      <c r="C42" s="54" t="s">
        <v>41</v>
      </c>
      <c r="D42" s="54" t="s">
        <v>325</v>
      </c>
      <c r="E42" s="54" t="s">
        <v>326</v>
      </c>
    </row>
    <row r="43" spans="2:5" ht="15" customHeight="1">
      <c r="B43" s="54" t="s">
        <v>279</v>
      </c>
      <c r="C43" s="54" t="s">
        <v>327</v>
      </c>
      <c r="D43" s="54" t="s">
        <v>328</v>
      </c>
      <c r="E43" s="54" t="s">
        <v>329</v>
      </c>
    </row>
    <row r="44" spans="2:5" ht="15" customHeight="1">
      <c r="B44" s="54" t="s">
        <v>279</v>
      </c>
      <c r="C44" s="54" t="s">
        <v>43</v>
      </c>
      <c r="D44" s="54" t="s">
        <v>330</v>
      </c>
      <c r="E44" s="54" t="s">
        <v>331</v>
      </c>
    </row>
    <row r="45" spans="2:5" ht="15" customHeight="1">
      <c r="B45" s="54" t="s">
        <v>279</v>
      </c>
      <c r="C45" s="54" t="s">
        <v>332</v>
      </c>
      <c r="D45" s="54" t="s">
        <v>333</v>
      </c>
      <c r="E45" s="54" t="s">
        <v>334</v>
      </c>
    </row>
    <row r="47" spans="2:5" ht="15" customHeight="1">
      <c r="B47" s="54" t="s">
        <v>335</v>
      </c>
      <c r="C47" s="54" t="s">
        <v>26</v>
      </c>
      <c r="D47" s="54" t="s">
        <v>336</v>
      </c>
      <c r="E47" s="54" t="s">
        <v>337</v>
      </c>
    </row>
    <row r="48" spans="2:5" ht="15" customHeight="1">
      <c r="B48" s="54" t="s">
        <v>335</v>
      </c>
      <c r="C48" s="54" t="s">
        <v>338</v>
      </c>
      <c r="D48" s="54" t="s">
        <v>339</v>
      </c>
      <c r="E48" s="54" t="s">
        <v>340</v>
      </c>
    </row>
    <row r="49" spans="2:5" ht="15" customHeight="1">
      <c r="B49" s="54" t="s">
        <v>335</v>
      </c>
      <c r="C49" s="54" t="s">
        <v>341</v>
      </c>
      <c r="D49" s="54" t="s">
        <v>342</v>
      </c>
      <c r="E49" s="54" t="s">
        <v>343</v>
      </c>
    </row>
    <row r="50" spans="2:5" ht="15" customHeight="1">
      <c r="B50" s="54" t="s">
        <v>335</v>
      </c>
      <c r="C50" s="54" t="s">
        <v>344</v>
      </c>
      <c r="D50" s="54" t="s">
        <v>345</v>
      </c>
      <c r="E50" s="54" t="s">
        <v>346</v>
      </c>
    </row>
    <row r="51" spans="2:5" ht="15" customHeight="1">
      <c r="B51" s="54" t="s">
        <v>335</v>
      </c>
      <c r="C51" s="54" t="s">
        <v>347</v>
      </c>
      <c r="D51" s="54" t="s">
        <v>348</v>
      </c>
      <c r="E51" s="54" t="s">
        <v>349</v>
      </c>
    </row>
    <row r="52" spans="2:5" ht="15" customHeight="1">
      <c r="B52" s="54" t="s">
        <v>335</v>
      </c>
      <c r="C52" s="54" t="s">
        <v>350</v>
      </c>
      <c r="D52" s="54" t="s">
        <v>351</v>
      </c>
      <c r="E52" s="54" t="s">
        <v>352</v>
      </c>
    </row>
    <row r="53" spans="2:5" ht="15" customHeight="1">
      <c r="B53" s="54" t="s">
        <v>335</v>
      </c>
      <c r="C53" s="54" t="s">
        <v>54</v>
      </c>
      <c r="D53" s="54" t="s">
        <v>353</v>
      </c>
      <c r="E53" s="54" t="s">
        <v>354</v>
      </c>
    </row>
    <row r="54" spans="2:5" ht="15" customHeight="1">
      <c r="B54" s="54" t="s">
        <v>335</v>
      </c>
      <c r="C54" s="54" t="s">
        <v>355</v>
      </c>
      <c r="D54" s="54" t="s">
        <v>356</v>
      </c>
      <c r="E54" s="54" t="s">
        <v>357</v>
      </c>
    </row>
    <row r="55" spans="2:5" ht="15" customHeight="1">
      <c r="B55" s="54" t="s">
        <v>335</v>
      </c>
      <c r="C55" s="54" t="s">
        <v>358</v>
      </c>
      <c r="D55" s="54" t="s">
        <v>359</v>
      </c>
      <c r="E55" s="54" t="s">
        <v>360</v>
      </c>
    </row>
    <row r="56" spans="2:5" ht="15" customHeight="1">
      <c r="B56" s="54" t="s">
        <v>335</v>
      </c>
      <c r="C56" s="54" t="s">
        <v>361</v>
      </c>
      <c r="D56" s="54" t="s">
        <v>362</v>
      </c>
      <c r="E56" s="54" t="s">
        <v>363</v>
      </c>
    </row>
    <row r="57" spans="2:5" ht="15" customHeight="1">
      <c r="B57" s="54" t="s">
        <v>335</v>
      </c>
      <c r="C57" s="54" t="s">
        <v>364</v>
      </c>
      <c r="D57" s="54" t="s">
        <v>365</v>
      </c>
      <c r="E57" s="54" t="s">
        <v>366</v>
      </c>
    </row>
    <row r="58" spans="2:5" ht="15" customHeight="1">
      <c r="B58" s="54" t="s">
        <v>335</v>
      </c>
      <c r="C58" s="54" t="s">
        <v>367</v>
      </c>
      <c r="D58" s="54" t="s">
        <v>368</v>
      </c>
      <c r="E58" s="54" t="s">
        <v>369</v>
      </c>
    </row>
    <row r="59" spans="2:5" ht="15" customHeight="1">
      <c r="B59" s="54" t="s">
        <v>335</v>
      </c>
      <c r="C59" s="54" t="s">
        <v>370</v>
      </c>
      <c r="D59" s="54" t="s">
        <v>371</v>
      </c>
      <c r="E59" s="54" t="s">
        <v>372</v>
      </c>
    </row>
    <row r="60" spans="2:5" ht="15" customHeight="1">
      <c r="B60" s="54" t="s">
        <v>335</v>
      </c>
      <c r="C60" s="54" t="s">
        <v>373</v>
      </c>
      <c r="D60" s="54" t="s">
        <v>374</v>
      </c>
      <c r="E60" s="54" t="s">
        <v>375</v>
      </c>
    </row>
    <row r="61" spans="2:5" ht="15" customHeight="1">
      <c r="B61" s="54" t="s">
        <v>335</v>
      </c>
      <c r="C61" s="54" t="s">
        <v>62</v>
      </c>
      <c r="D61" s="54" t="s">
        <v>376</v>
      </c>
      <c r="E61" s="54" t="s">
        <v>377</v>
      </c>
    </row>
    <row r="62" spans="2:5" ht="15" customHeight="1">
      <c r="B62" s="54" t="s">
        <v>335</v>
      </c>
      <c r="C62" s="54" t="s">
        <v>378</v>
      </c>
      <c r="D62" s="54" t="s">
        <v>379</v>
      </c>
      <c r="E62" s="54" t="s">
        <v>380</v>
      </c>
    </row>
    <row r="64" spans="2:5" ht="15" customHeight="1">
      <c r="B64" s="54" t="s">
        <v>381</v>
      </c>
      <c r="C64" s="54" t="s">
        <v>66</v>
      </c>
      <c r="D64" s="54" t="s">
        <v>382</v>
      </c>
      <c r="E64" s="54" t="s">
        <v>383</v>
      </c>
    </row>
    <row r="65" spans="2:5" ht="15" customHeight="1">
      <c r="B65" s="54" t="s">
        <v>381</v>
      </c>
      <c r="C65" s="54" t="s">
        <v>67</v>
      </c>
      <c r="D65" s="54" t="s">
        <v>384</v>
      </c>
      <c r="E65" s="54" t="s">
        <v>385</v>
      </c>
    </row>
    <row r="66" spans="2:5" ht="15" customHeight="1">
      <c r="B66" s="54" t="s">
        <v>381</v>
      </c>
      <c r="C66" s="54" t="s">
        <v>68</v>
      </c>
      <c r="D66" s="54" t="s">
        <v>386</v>
      </c>
      <c r="E66" s="54" t="s">
        <v>387</v>
      </c>
    </row>
    <row r="67" spans="2:5" ht="15" customHeight="1">
      <c r="B67" s="54" t="s">
        <v>381</v>
      </c>
      <c r="C67" s="54" t="s">
        <v>69</v>
      </c>
      <c r="D67" s="54" t="s">
        <v>388</v>
      </c>
      <c r="E67" s="54" t="s">
        <v>389</v>
      </c>
    </row>
    <row r="68" spans="2:5" ht="15" customHeight="1">
      <c r="B68" s="54" t="s">
        <v>381</v>
      </c>
      <c r="C68" s="54" t="s">
        <v>70</v>
      </c>
      <c r="D68" s="54" t="s">
        <v>390</v>
      </c>
      <c r="E68" s="54" t="s">
        <v>391</v>
      </c>
    </row>
    <row r="69" spans="2:5" ht="15" customHeight="1">
      <c r="B69" s="54" t="s">
        <v>381</v>
      </c>
      <c r="C69" s="54" t="s">
        <v>72</v>
      </c>
      <c r="D69" s="54" t="s">
        <v>392</v>
      </c>
      <c r="E69" s="54" t="s">
        <v>393</v>
      </c>
    </row>
    <row r="70" spans="2:5" ht="15" customHeight="1">
      <c r="B70" s="54" t="s">
        <v>381</v>
      </c>
      <c r="C70" s="54" t="s">
        <v>73</v>
      </c>
      <c r="D70" s="54" t="s">
        <v>394</v>
      </c>
      <c r="E70" s="54" t="s">
        <v>395</v>
      </c>
    </row>
    <row r="71" spans="2:5" ht="15" customHeight="1">
      <c r="B71" s="54" t="s">
        <v>381</v>
      </c>
      <c r="C71" s="54" t="s">
        <v>74</v>
      </c>
      <c r="D71" s="54" t="s">
        <v>396</v>
      </c>
      <c r="E71" s="54" t="s">
        <v>397</v>
      </c>
    </row>
    <row r="72" spans="2:5" ht="15" customHeight="1">
      <c r="B72" s="54" t="s">
        <v>381</v>
      </c>
      <c r="C72" s="54" t="s">
        <v>75</v>
      </c>
      <c r="D72" s="54" t="s">
        <v>398</v>
      </c>
      <c r="E72" s="54" t="s">
        <v>399</v>
      </c>
    </row>
    <row r="73" spans="2:5" ht="15" customHeight="1">
      <c r="B73" s="54" t="s">
        <v>381</v>
      </c>
      <c r="C73" s="54" t="s">
        <v>76</v>
      </c>
      <c r="D73" s="54" t="s">
        <v>400</v>
      </c>
      <c r="E73" s="54" t="s">
        <v>401</v>
      </c>
    </row>
    <row r="74" spans="2:5" ht="15" customHeight="1">
      <c r="B74" s="54" t="s">
        <v>381</v>
      </c>
      <c r="C74" s="54" t="s">
        <v>77</v>
      </c>
      <c r="D74" s="54" t="s">
        <v>402</v>
      </c>
      <c r="E74" s="54" t="s">
        <v>403</v>
      </c>
    </row>
    <row r="75" spans="2:5" ht="15" customHeight="1">
      <c r="B75" s="54" t="s">
        <v>381</v>
      </c>
      <c r="C75" s="54" t="s">
        <v>78</v>
      </c>
      <c r="D75" s="54" t="s">
        <v>404</v>
      </c>
      <c r="E75" s="54" t="s">
        <v>405</v>
      </c>
    </row>
    <row r="76" spans="2:5" ht="15" customHeight="1">
      <c r="B76" s="54" t="s">
        <v>381</v>
      </c>
      <c r="C76" s="54" t="s">
        <v>406</v>
      </c>
      <c r="D76" s="54" t="s">
        <v>407</v>
      </c>
      <c r="E76" s="54" t="s">
        <v>408</v>
      </c>
    </row>
    <row r="77" spans="2:5" ht="15" customHeight="1">
      <c r="B77" s="54" t="s">
        <v>381</v>
      </c>
      <c r="C77" s="54" t="s">
        <v>409</v>
      </c>
      <c r="D77" s="54" t="s">
        <v>410</v>
      </c>
      <c r="E77" s="54" t="s">
        <v>411</v>
      </c>
    </row>
    <row r="78" spans="2:5" ht="15" customHeight="1">
      <c r="B78" s="54" t="s">
        <v>381</v>
      </c>
      <c r="C78" s="54" t="s">
        <v>412</v>
      </c>
      <c r="D78" s="54" t="s">
        <v>413</v>
      </c>
      <c r="E78" s="54" t="s">
        <v>414</v>
      </c>
    </row>
    <row r="80" spans="2:5" ht="15" customHeight="1">
      <c r="B80" s="54" t="s">
        <v>415</v>
      </c>
      <c r="C80" s="54" t="s">
        <v>416</v>
      </c>
      <c r="D80" s="54" t="s">
        <v>417</v>
      </c>
      <c r="E80" s="54" t="s">
        <v>418</v>
      </c>
    </row>
    <row r="81" spans="2:5" ht="15" customHeight="1">
      <c r="B81" s="54" t="s">
        <v>415</v>
      </c>
      <c r="C81" s="54" t="s">
        <v>419</v>
      </c>
      <c r="D81" s="54" t="s">
        <v>420</v>
      </c>
      <c r="E81" s="54" t="s">
        <v>421</v>
      </c>
    </row>
    <row r="82" spans="2:5" ht="15" customHeight="1">
      <c r="B82" s="54" t="s">
        <v>415</v>
      </c>
      <c r="C82" s="54" t="s">
        <v>422</v>
      </c>
      <c r="D82" s="54" t="s">
        <v>423</v>
      </c>
      <c r="E82" s="54" t="s">
        <v>424</v>
      </c>
    </row>
    <row r="83" spans="2:5" ht="15" customHeight="1">
      <c r="B83" s="54" t="s">
        <v>415</v>
      </c>
      <c r="C83" s="54" t="s">
        <v>93</v>
      </c>
      <c r="D83" s="54" t="s">
        <v>425</v>
      </c>
      <c r="E83" s="54" t="s">
        <v>426</v>
      </c>
    </row>
    <row r="84" spans="2:5" ht="15" customHeight="1">
      <c r="B84" s="54" t="s">
        <v>415</v>
      </c>
      <c r="C84" s="54" t="s">
        <v>94</v>
      </c>
      <c r="D84" s="54" t="s">
        <v>427</v>
      </c>
      <c r="E84" s="54" t="s">
        <v>428</v>
      </c>
    </row>
    <row r="85" spans="2:5" ht="15" customHeight="1">
      <c r="B85" s="54" t="s">
        <v>415</v>
      </c>
      <c r="C85" s="54" t="s">
        <v>429</v>
      </c>
      <c r="D85" s="54" t="s">
        <v>430</v>
      </c>
      <c r="E85" s="54" t="s">
        <v>431</v>
      </c>
    </row>
    <row r="86" spans="2:5" ht="15" customHeight="1">
      <c r="B86" s="54" t="s">
        <v>415</v>
      </c>
      <c r="C86" s="54" t="s">
        <v>114</v>
      </c>
      <c r="D86" s="54" t="s">
        <v>432</v>
      </c>
      <c r="E86" s="54" t="s">
        <v>433</v>
      </c>
    </row>
    <row r="88" spans="2:5" ht="15" customHeight="1">
      <c r="B88" s="54" t="s">
        <v>434</v>
      </c>
      <c r="C88" s="54" t="s">
        <v>435</v>
      </c>
      <c r="D88" s="54" t="s">
        <v>436</v>
      </c>
      <c r="E88" s="54" t="s">
        <v>437</v>
      </c>
    </row>
    <row r="89" spans="2:5" ht="15" customHeight="1">
      <c r="B89" s="54" t="s">
        <v>434</v>
      </c>
      <c r="C89" s="54" t="s">
        <v>438</v>
      </c>
      <c r="D89" s="54" t="s">
        <v>439</v>
      </c>
      <c r="E89" s="54" t="s">
        <v>440</v>
      </c>
    </row>
    <row r="90" spans="2:5" ht="15" customHeight="1">
      <c r="B90" s="54" t="s">
        <v>434</v>
      </c>
      <c r="C90" s="54" t="s">
        <v>441</v>
      </c>
      <c r="D90" s="54" t="s">
        <v>442</v>
      </c>
      <c r="E90" s="54" t="s">
        <v>443</v>
      </c>
    </row>
    <row r="91" spans="2:5" ht="15" customHeight="1">
      <c r="B91" s="54" t="s">
        <v>434</v>
      </c>
      <c r="C91" s="54" t="s">
        <v>444</v>
      </c>
      <c r="D91" s="54" t="s">
        <v>445</v>
      </c>
      <c r="E91" s="54" t="s">
        <v>446</v>
      </c>
    </row>
    <row r="92" spans="2:5" ht="15" customHeight="1">
      <c r="B92" s="54" t="s">
        <v>434</v>
      </c>
      <c r="C92" s="54" t="s">
        <v>447</v>
      </c>
      <c r="D92" s="54" t="s">
        <v>448</v>
      </c>
      <c r="E92" s="54" t="s">
        <v>449</v>
      </c>
    </row>
    <row r="93" spans="2:5" ht="15" customHeight="1">
      <c r="B93" s="54" t="s">
        <v>434</v>
      </c>
      <c r="C93" s="54" t="s">
        <v>450</v>
      </c>
      <c r="D93" s="54" t="s">
        <v>451</v>
      </c>
      <c r="E93" s="54" t="s">
        <v>452</v>
      </c>
    </row>
    <row r="94" spans="2:5" ht="15" customHeight="1">
      <c r="B94" s="54" t="s">
        <v>434</v>
      </c>
      <c r="C94" s="54" t="s">
        <v>130</v>
      </c>
      <c r="D94" s="54" t="s">
        <v>453</v>
      </c>
      <c r="E94" s="54" t="s">
        <v>454</v>
      </c>
    </row>
    <row r="95" spans="2:5" ht="15" customHeight="1">
      <c r="B95" s="54" t="s">
        <v>434</v>
      </c>
      <c r="C95" s="54" t="s">
        <v>131</v>
      </c>
      <c r="D95" s="54" t="s">
        <v>455</v>
      </c>
      <c r="E95" s="54" t="s">
        <v>456</v>
      </c>
    </row>
    <row r="96" spans="2:5" ht="15" customHeight="1">
      <c r="B96" s="54" t="s">
        <v>434</v>
      </c>
      <c r="C96" s="54" t="s">
        <v>132</v>
      </c>
      <c r="D96" s="54" t="s">
        <v>457</v>
      </c>
      <c r="E96" s="54" t="s">
        <v>458</v>
      </c>
    </row>
    <row r="97" spans="2:5" ht="15" customHeight="1">
      <c r="B97" s="54" t="s">
        <v>434</v>
      </c>
      <c r="C97" s="54" t="s">
        <v>137</v>
      </c>
      <c r="D97" s="54" t="s">
        <v>459</v>
      </c>
      <c r="E97" s="54" t="s">
        <v>460</v>
      </c>
    </row>
    <row r="98" spans="2:5" ht="15" customHeight="1">
      <c r="B98" s="54" t="s">
        <v>434</v>
      </c>
      <c r="C98" s="54" t="s">
        <v>138</v>
      </c>
      <c r="D98" s="54" t="s">
        <v>461</v>
      </c>
      <c r="E98" s="54" t="s">
        <v>462</v>
      </c>
    </row>
    <row r="99" spans="2:5" ht="15" customHeight="1">
      <c r="B99" s="54" t="s">
        <v>434</v>
      </c>
      <c r="C99" s="54" t="s">
        <v>139</v>
      </c>
      <c r="D99" s="54" t="s">
        <v>463</v>
      </c>
      <c r="E99" s="54" t="s">
        <v>464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EVAL LEGEND</vt:lpstr>
      <vt:lpstr>P&amp;L</vt:lpstr>
      <vt:lpstr>BS</vt:lpstr>
      <vt:lpstr>Cash-Flow</vt:lpstr>
      <vt:lpstr>KPI</vt:lpstr>
      <vt:lpstr>Debt-Ratio</vt:lpstr>
      <vt:lpstr>Debt-Overview</vt:lpstr>
      <vt:lpstr>Adjustment-Types</vt:lpstr>
      <vt:lpstr>Input-Summary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Changez Ahmed</cp:lastModifiedBy>
  <dcterms:created xsi:type="dcterms:W3CDTF">2025-05-22T23:41:35Z</dcterms:created>
  <dcterms:modified xsi:type="dcterms:W3CDTF">2026-07-15T09:05:59Z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a715fd48-236c-4312-9d7c-090368055790</vt:lpwstr>
  </property>
</Properties>
</file>