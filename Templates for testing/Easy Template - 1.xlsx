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g\Project Tempo\Templates for testing\"/>
    </mc:Choice>
  </mc:AlternateContent>
  <xr:revisionPtr revIDLastSave="0" documentId="8_{D9823897-FDE8-4CD7-B6C9-80EB3DEC9664}" xr6:coauthVersionLast="47" xr6:coauthVersionMax="47" xr10:uidLastSave="{00000000-0000-0000-0000-000000000000}"/>
  <bookViews>
    <workbookView xWindow="-110" yWindow="-110" windowWidth="19420" windowHeight="11500" xr2:uid="{D2D5455C-5015-4714-AA35-EE5A1B7FF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C4" i="1" s="1"/>
  <c r="D5" i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K4" i="1" l="1"/>
  <c r="S4" i="1"/>
  <c r="AA4" i="1"/>
  <c r="AI4" i="1"/>
  <c r="AQ4" i="1"/>
  <c r="D4" i="1"/>
  <c r="L4" i="1"/>
  <c r="T4" i="1"/>
  <c r="AB4" i="1"/>
  <c r="AJ4" i="1"/>
  <c r="AR4" i="1"/>
  <c r="E4" i="1"/>
  <c r="M4" i="1"/>
  <c r="U4" i="1"/>
  <c r="AC4" i="1"/>
  <c r="AK4" i="1"/>
  <c r="AS4" i="1"/>
  <c r="F4" i="1"/>
  <c r="N4" i="1"/>
  <c r="V4" i="1"/>
  <c r="AD4" i="1"/>
  <c r="AL4" i="1"/>
  <c r="AT4" i="1"/>
  <c r="G4" i="1"/>
  <c r="O4" i="1"/>
  <c r="W4" i="1"/>
  <c r="AE4" i="1"/>
  <c r="AM4" i="1"/>
  <c r="AU4" i="1"/>
  <c r="H4" i="1"/>
  <c r="P4" i="1"/>
  <c r="X4" i="1"/>
  <c r="AF4" i="1"/>
  <c r="AN4" i="1"/>
  <c r="AV4" i="1"/>
  <c r="I4" i="1"/>
  <c r="Q4" i="1"/>
  <c r="Y4" i="1"/>
  <c r="AG4" i="1"/>
  <c r="AO4" i="1"/>
  <c r="AW4" i="1"/>
  <c r="J4" i="1"/>
  <c r="R4" i="1"/>
  <c r="Z4" i="1"/>
  <c r="AH4" i="1"/>
  <c r="AP4" i="1"/>
  <c r="AX4" i="1"/>
</calcChain>
</file>

<file path=xl/sharedStrings.xml><?xml version="1.0" encoding="utf-8"?>
<sst xmlns="http://schemas.openxmlformats.org/spreadsheetml/2006/main" count="83" uniqueCount="74">
  <si>
    <t>Today</t>
  </si>
  <si>
    <t>PL</t>
  </si>
  <si>
    <t>Gross revenue</t>
  </si>
  <si>
    <t>Comissions</t>
  </si>
  <si>
    <t>Net revenue</t>
  </si>
  <si>
    <t>Cost of sales</t>
  </si>
  <si>
    <t>Gross profit</t>
  </si>
  <si>
    <t>Gross margin</t>
  </si>
  <si>
    <t>Operating costs</t>
  </si>
  <si>
    <t>Operating costs as a % of revenue</t>
  </si>
  <si>
    <t>One off costs</t>
  </si>
  <si>
    <t>Exceptionals</t>
  </si>
  <si>
    <t>CMO salary</t>
  </si>
  <si>
    <t>Adjusted operating costs</t>
  </si>
  <si>
    <t>Total EBITDA adjustments</t>
  </si>
  <si>
    <t>Adjusted operating costs as a % of revenue</t>
  </si>
  <si>
    <t>Adjusted EBITDA</t>
  </si>
  <si>
    <t>Adjusted EBITDA margin</t>
  </si>
  <si>
    <t>Reported EBITDA</t>
  </si>
  <si>
    <t>Reported EBITDA margin</t>
  </si>
  <si>
    <t>CF</t>
  </si>
  <si>
    <t>Non-Cash Adjustments</t>
  </si>
  <si>
    <t>(Increase)/Decrease in NWC</t>
  </si>
  <si>
    <t>Other Operating Cash Flows</t>
  </si>
  <si>
    <t>Operating cash flow</t>
  </si>
  <si>
    <t>Cash Tax</t>
  </si>
  <si>
    <t>Capex</t>
  </si>
  <si>
    <t>Exceptional/VCP/One-off Cash Flows</t>
  </si>
  <si>
    <t>UnLevered Free Cash Flow (UFCF)</t>
  </si>
  <si>
    <t>Cash Interest Expense (CIE)</t>
  </si>
  <si>
    <t>Principal Repayments</t>
  </si>
  <si>
    <t>Levered Free Cash Flow (LFCF)</t>
  </si>
  <si>
    <t>Financing Proceeds</t>
  </si>
  <si>
    <t>M&amp;A</t>
  </si>
  <si>
    <t>Dividend payments</t>
  </si>
  <si>
    <t>Other Financing Cash Flows</t>
  </si>
  <si>
    <t>Unreconciled Cash Flows</t>
  </si>
  <si>
    <t>Net Cash Flow</t>
  </si>
  <si>
    <t>Fixed Assets</t>
  </si>
  <si>
    <t>Intangible Assets</t>
  </si>
  <si>
    <t>Other Non-current Assets</t>
  </si>
  <si>
    <t>Non-Current Assets</t>
  </si>
  <si>
    <t>Trade Receivables</t>
  </si>
  <si>
    <t>Accounts Payable</t>
  </si>
  <si>
    <t>Inventory</t>
  </si>
  <si>
    <t>Other Net Working Capital</t>
  </si>
  <si>
    <t>Net Working Capital (NWC)</t>
  </si>
  <si>
    <t>Other Assets</t>
  </si>
  <si>
    <t>Net Capital Employed</t>
  </si>
  <si>
    <t>Senior instrument(s) amortising: e.g. Term Loan A</t>
  </si>
  <si>
    <t>Senior Instrument(s): e.g. Term Loan B or Senior Secured Notes</t>
  </si>
  <si>
    <t>Junior Instrument(s): e.g. Second Lien (Junior) or Unsecured Notes</t>
  </si>
  <si>
    <t>Others Instrument(s)</t>
  </si>
  <si>
    <t>Gross External Acquisition / Refi Debt</t>
  </si>
  <si>
    <t>Accrued Interest</t>
  </si>
  <si>
    <t>Drawn RCF</t>
  </si>
  <si>
    <t>Gross External Debt</t>
  </si>
  <si>
    <t>Cash &amp; Equivalents</t>
  </si>
  <si>
    <t>Net External Debt</t>
  </si>
  <si>
    <t>Pension Liabilities (on BS)</t>
  </si>
  <si>
    <t>IFRS-16 Lease Liabilities (on BS)</t>
  </si>
  <si>
    <t>Deferred Tax Assets / Liabilities</t>
  </si>
  <si>
    <t>Other debt Like items (on BS)</t>
  </si>
  <si>
    <t>Potential Debt Like Items</t>
  </si>
  <si>
    <t>Net Debt / (Cash)</t>
  </si>
  <si>
    <t>Capitalised Fees</t>
  </si>
  <si>
    <t>Other Liabilities</t>
  </si>
  <si>
    <t>Preferred Equity</t>
  </si>
  <si>
    <t>Net Assets / Total Equity</t>
  </si>
  <si>
    <t>FY25</t>
  </si>
  <si>
    <t>FY26 Budget</t>
  </si>
  <si>
    <t>FY27 Forecast</t>
  </si>
  <si>
    <t>Custom metrics</t>
  </si>
  <si>
    <t>[Please add here]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</si>
</sst>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2" fillId="2" borderId="2" applyNumberFormat="0" applyFont="0" applyFill="0" applyBorder="0" applyAlignment="0">
      <alignment horizontal="left" vertical="center" indent="1"/>
      <protection locked="0"/>
    </xf>
    <xf numFmtId="0" fontId="2" fillId="2" borderId="3" applyNumberFormat="0" applyFont="0" applyFill="0" applyBorder="0" applyAlignment="0">
      <alignment horizontal="left" vertical="center" indent="1"/>
    </xf>
  </cellStyleXfs>
  <cellXfs count="17">
    <xf numFmtId="0" fontId="0" fillId="0" borderId="0" xfId="0"/>
    <xf numFmtId="17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0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>
      <alignment horizontal="left" vertical="center"/>
    </xf>
    <xf numFmtId="0" fontId="0" fillId="2" borderId="1" xfId="1" applyFont="1" applyFill="1" applyBorder="1">
      <alignment horizontal="left" vertical="center" indent="1"/>
      <protection locked="0"/>
    </xf>
    <xf numFmtId="0" fontId="0" fillId="3" borderId="1" xfId="0" applyFill="1" applyBorder="1" applyAlignment="1">
      <alignment horizontal="left" vertical="center"/>
    </xf>
    <xf numFmtId="0" fontId="0" fillId="2" borderId="1" xfId="1" applyFont="1" applyFill="1" applyBorder="1" applyProtection="1">
      <alignment horizontal="left" vertical="center" indent="1"/>
    </xf>
    <xf numFmtId="0" fontId="0" fillId="2" borderId="1" xfId="2" applyFont="1" applyFill="1" applyBorder="1">
      <alignment horizontal="left" vertical="center" indent="1"/>
    </xf>
    <xf numFmtId="0" fontId="0" fillId="2" borderId="4" xfId="1" applyFont="1" applyFill="1" applyBorder="1">
      <alignment horizontal="left" vertical="center" indent="1"/>
      <protection locked="0"/>
    </xf>
    <xf numFmtId="0" fontId="0" fillId="2" borderId="4" xfId="2" applyFont="1" applyFill="1" applyBorder="1">
      <alignment horizontal="left" vertical="center" indent="1"/>
    </xf>
    <xf numFmtId="0" fontId="3" fillId="0" borderId="0" xfId="0" applyFont="1"/>
    <xf numFmtId="0" fontId="0" fillId="4" borderId="0" xfId="0" applyFill="1"/>
    <xf numFmtId="17" fontId="0" fillId="4" borderId="0" xfId="0" applyNumberFormat="1" applyFill="1"/>
  </cellXfs>
  <cellStyles count="3">
    <cellStyle name="Lock" xfId="2" xr:uid="{CC741ED6-193E-4C30-994D-08D7CFB63D52}"/>
    <cellStyle name="Normal" xfId="0" builtinId="0"/>
    <cellStyle name="Unlock" xfId="1" xr:uid="{584DA11D-8DD5-477E-9979-DAD6E1FF35E4}"/>
  </cellStyles>
  <dxfs count="8">
    <dxf>
      <font>
        <b/>
        <i val="0"/>
        <color theme="3"/>
      </font>
      <fill>
        <patternFill>
          <bgColor theme="6"/>
        </patternFill>
      </fill>
    </dxf>
    <dxf>
      <fill>
        <patternFill>
          <bgColor rgb="FFFF7C80"/>
        </patternFill>
      </fill>
    </dxf>
    <dxf>
      <font>
        <b/>
        <i val="0"/>
        <color theme="3"/>
      </font>
      <fill>
        <patternFill>
          <bgColor theme="6"/>
        </patternFill>
      </fill>
    </dxf>
    <dxf>
      <fill>
        <patternFill>
          <bgColor rgb="FFFF9999"/>
        </patternFill>
      </fill>
    </dxf>
    <dxf>
      <font>
        <b/>
        <i val="0"/>
        <color theme="3"/>
      </font>
      <fill>
        <patternFill>
          <bgColor theme="6"/>
        </patternFill>
      </fill>
    </dxf>
    <dxf>
      <fill>
        <patternFill>
          <bgColor rgb="FFFF9999"/>
        </patternFill>
      </fill>
    </dxf>
    <dxf>
      <font>
        <b/>
        <i val="0"/>
        <color theme="3"/>
      </font>
      <fill>
        <patternFill>
          <bgColor theme="6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159B-D450-4671-9B57-0C77AD62063D}">
  <dimension ref="B2:BB89"/>
  <sheetViews>
    <sheetView tabSelected="1" workbookViewId="0">
      <selection activeCell="B11" sqref="B11"/>
    </sheetView>
  </sheetViews>
  <sheetFormatPr defaultColWidth="8.7265625" defaultRowHeight="14.5" x14ac:dyDescent="0.35"/>
  <cols>
    <col min="2" max="2" width="40.08984375" customWidth="1"/>
  </cols>
  <sheetData>
    <row r="2" spans="2:54" x14ac:dyDescent="0.35">
      <c r="C2" t="s">
        <v>0</v>
      </c>
      <c r="D2" s="1">
        <f ca="1">TODAY()</f>
        <v>46249</v>
      </c>
    </row>
    <row r="4" spans="2:54" x14ac:dyDescent="0.35">
      <c r="C4" s="2" t="str">
        <f ca="1">IF(C$5&lt;$D$2,"Actual","Budget")</f>
        <v>Actual</v>
      </c>
      <c r="D4" s="2" t="str">
        <f t="shared" ref="D4:AX4" ca="1" si="0">IF(D$5&lt;$D$2,"Actual","Budget")</f>
        <v>Actual</v>
      </c>
      <c r="E4" s="2" t="str">
        <f t="shared" ca="1" si="0"/>
        <v>Actual</v>
      </c>
      <c r="F4" s="2" t="str">
        <f t="shared" ca="1" si="0"/>
        <v>Actual</v>
      </c>
      <c r="G4" s="2" t="str">
        <f t="shared" ca="1" si="0"/>
        <v>Actual</v>
      </c>
      <c r="H4" s="2" t="str">
        <f t="shared" ca="1" si="0"/>
        <v>Actual</v>
      </c>
      <c r="I4" s="2" t="str">
        <f t="shared" ca="1" si="0"/>
        <v>Actual</v>
      </c>
      <c r="J4" s="2" t="str">
        <f t="shared" ca="1" si="0"/>
        <v>Actual</v>
      </c>
      <c r="K4" s="2" t="str">
        <f t="shared" ca="1" si="0"/>
        <v>Actual</v>
      </c>
      <c r="L4" s="2" t="str">
        <f t="shared" ca="1" si="0"/>
        <v>Actual</v>
      </c>
      <c r="M4" s="2" t="str">
        <f t="shared" ca="1" si="0"/>
        <v>Actual</v>
      </c>
      <c r="N4" s="2" t="str">
        <f t="shared" ca="1" si="0"/>
        <v>Actual</v>
      </c>
      <c r="O4" s="2" t="str">
        <f t="shared" ca="1" si="0"/>
        <v>Actual</v>
      </c>
      <c r="P4" s="2" t="str">
        <f t="shared" ca="1" si="0"/>
        <v>Actual</v>
      </c>
      <c r="Q4" s="2" t="str">
        <f t="shared" ca="1" si="0"/>
        <v>Actual</v>
      </c>
      <c r="R4" s="2" t="str">
        <f t="shared" ca="1" si="0"/>
        <v>Actual</v>
      </c>
      <c r="S4" s="2" t="str">
        <f t="shared" ca="1" si="0"/>
        <v>Actual</v>
      </c>
      <c r="T4" s="2" t="str">
        <f t="shared" ca="1" si="0"/>
        <v>Actual</v>
      </c>
      <c r="U4" s="2" t="str">
        <f t="shared" ca="1" si="0"/>
        <v>Actual</v>
      </c>
      <c r="V4" s="2" t="str">
        <f t="shared" ca="1" si="0"/>
        <v>Actual</v>
      </c>
      <c r="W4" s="2" t="str">
        <f t="shared" ca="1" si="0"/>
        <v>Actual</v>
      </c>
      <c r="X4" s="2" t="str">
        <f t="shared" ca="1" si="0"/>
        <v>Actual</v>
      </c>
      <c r="Y4" s="2" t="str">
        <f t="shared" ca="1" si="0"/>
        <v>Actual</v>
      </c>
      <c r="Z4" s="2" t="str">
        <f t="shared" ca="1" si="0"/>
        <v>Actual</v>
      </c>
      <c r="AA4" s="2" t="str">
        <f t="shared" ca="1" si="0"/>
        <v>Actual</v>
      </c>
      <c r="AB4" s="2" t="str">
        <f t="shared" ca="1" si="0"/>
        <v>Actual</v>
      </c>
      <c r="AC4" s="2" t="str">
        <f t="shared" ca="1" si="0"/>
        <v>Actual</v>
      </c>
      <c r="AD4" s="2" t="str">
        <f t="shared" ca="1" si="0"/>
        <v>Actual</v>
      </c>
      <c r="AE4" s="2" t="str">
        <f t="shared" ca="1" si="0"/>
        <v>Actual</v>
      </c>
      <c r="AF4" s="2" t="str">
        <f t="shared" ca="1" si="0"/>
        <v>Actual</v>
      </c>
      <c r="AG4" s="2" t="str">
        <f t="shared" ca="1" si="0"/>
        <v>Actual</v>
      </c>
      <c r="AH4" s="2" t="str">
        <f t="shared" ca="1" si="0"/>
        <v>Actual</v>
      </c>
      <c r="AI4" s="2" t="str">
        <f t="shared" ca="1" si="0"/>
        <v>Actual</v>
      </c>
      <c r="AJ4" s="2" t="str">
        <f t="shared" ca="1" si="0"/>
        <v>Actual</v>
      </c>
      <c r="AK4" s="2" t="str">
        <f t="shared" ca="1" si="0"/>
        <v>Actual</v>
      </c>
      <c r="AL4" s="2" t="str">
        <f t="shared" ca="1" si="0"/>
        <v>Actual</v>
      </c>
      <c r="AM4" s="2" t="str">
        <f t="shared" ca="1" si="0"/>
        <v>Actual</v>
      </c>
      <c r="AN4" s="2" t="str">
        <f t="shared" ca="1" si="0"/>
        <v>Actual</v>
      </c>
      <c r="AO4" s="2" t="str">
        <f t="shared" ca="1" si="0"/>
        <v>Actual</v>
      </c>
      <c r="AP4" s="2" t="str">
        <f t="shared" ca="1" si="0"/>
        <v>Actual</v>
      </c>
      <c r="AQ4" s="2" t="str">
        <f t="shared" ca="1" si="0"/>
        <v>Actual</v>
      </c>
      <c r="AR4" s="2" t="str">
        <f t="shared" ca="1" si="0"/>
        <v>Actual</v>
      </c>
      <c r="AS4" s="2" t="str">
        <f t="shared" ca="1" si="0"/>
        <v>Actual</v>
      </c>
      <c r="AT4" s="2" t="str">
        <f t="shared" ca="1" si="0"/>
        <v>Budget</v>
      </c>
      <c r="AU4" s="2" t="str">
        <f t="shared" ca="1" si="0"/>
        <v>Budget</v>
      </c>
      <c r="AV4" s="2" t="str">
        <f t="shared" ca="1" si="0"/>
        <v>Budget</v>
      </c>
      <c r="AW4" s="2" t="str">
        <f t="shared" ca="1" si="0"/>
        <v>Budget</v>
      </c>
      <c r="AX4" s="2" t="str">
        <f t="shared" ca="1" si="0"/>
        <v>Budget</v>
      </c>
    </row>
    <row r="5" spans="2:54" x14ac:dyDescent="0.35">
      <c r="B5" s="15"/>
      <c r="C5" s="16">
        <v>44957</v>
      </c>
      <c r="D5" s="16">
        <f>EOMONTH(C5,1)</f>
        <v>44985</v>
      </c>
      <c r="E5" s="16">
        <f t="shared" ref="E5:AX5" si="1">EOMONTH(D5,1)</f>
        <v>45016</v>
      </c>
      <c r="F5" s="16">
        <f t="shared" si="1"/>
        <v>45046</v>
      </c>
      <c r="G5" s="16">
        <f t="shared" si="1"/>
        <v>45077</v>
      </c>
      <c r="H5" s="16">
        <f t="shared" si="1"/>
        <v>45107</v>
      </c>
      <c r="I5" s="16">
        <f t="shared" si="1"/>
        <v>45138</v>
      </c>
      <c r="J5" s="16">
        <f t="shared" si="1"/>
        <v>45169</v>
      </c>
      <c r="K5" s="16">
        <f t="shared" si="1"/>
        <v>45199</v>
      </c>
      <c r="L5" s="16">
        <f t="shared" si="1"/>
        <v>45230</v>
      </c>
      <c r="M5" s="16">
        <f t="shared" si="1"/>
        <v>45260</v>
      </c>
      <c r="N5" s="16">
        <f t="shared" si="1"/>
        <v>45291</v>
      </c>
      <c r="O5" s="16">
        <f t="shared" si="1"/>
        <v>45322</v>
      </c>
      <c r="P5" s="16">
        <f t="shared" si="1"/>
        <v>45351</v>
      </c>
      <c r="Q5" s="16">
        <f t="shared" si="1"/>
        <v>45382</v>
      </c>
      <c r="R5" s="16">
        <f t="shared" si="1"/>
        <v>45412</v>
      </c>
      <c r="S5" s="16">
        <f t="shared" si="1"/>
        <v>45443</v>
      </c>
      <c r="T5" s="16">
        <f t="shared" si="1"/>
        <v>45473</v>
      </c>
      <c r="U5" s="16">
        <f t="shared" si="1"/>
        <v>45504</v>
      </c>
      <c r="V5" s="16">
        <f t="shared" si="1"/>
        <v>45535</v>
      </c>
      <c r="W5" s="16">
        <f t="shared" si="1"/>
        <v>45565</v>
      </c>
      <c r="X5" s="16">
        <f t="shared" si="1"/>
        <v>45596</v>
      </c>
      <c r="Y5" s="16">
        <f t="shared" si="1"/>
        <v>45626</v>
      </c>
      <c r="Z5" s="16">
        <f t="shared" si="1"/>
        <v>45657</v>
      </c>
      <c r="AA5" s="16">
        <f t="shared" si="1"/>
        <v>45688</v>
      </c>
      <c r="AB5" s="16">
        <f t="shared" si="1"/>
        <v>45716</v>
      </c>
      <c r="AC5" s="16">
        <f t="shared" si="1"/>
        <v>45747</v>
      </c>
      <c r="AD5" s="16">
        <f t="shared" si="1"/>
        <v>45777</v>
      </c>
      <c r="AE5" s="16">
        <f t="shared" si="1"/>
        <v>45808</v>
      </c>
      <c r="AF5" s="16">
        <f t="shared" si="1"/>
        <v>45838</v>
      </c>
      <c r="AG5" s="16">
        <f t="shared" si="1"/>
        <v>45869</v>
      </c>
      <c r="AH5" s="16">
        <f t="shared" si="1"/>
        <v>45900</v>
      </c>
      <c r="AI5" s="16">
        <f t="shared" si="1"/>
        <v>45930</v>
      </c>
      <c r="AJ5" s="16">
        <f t="shared" si="1"/>
        <v>45961</v>
      </c>
      <c r="AK5" s="16">
        <f t="shared" si="1"/>
        <v>45991</v>
      </c>
      <c r="AL5" s="16">
        <f t="shared" si="1"/>
        <v>46022</v>
      </c>
      <c r="AM5" s="16">
        <f t="shared" si="1"/>
        <v>46053</v>
      </c>
      <c r="AN5" s="16">
        <f t="shared" si="1"/>
        <v>46081</v>
      </c>
      <c r="AO5" s="16">
        <f t="shared" si="1"/>
        <v>46112</v>
      </c>
      <c r="AP5" s="16">
        <f t="shared" si="1"/>
        <v>46142</v>
      </c>
      <c r="AQ5" s="16">
        <f t="shared" si="1"/>
        <v>46173</v>
      </c>
      <c r="AR5" s="16">
        <f t="shared" si="1"/>
        <v>46203</v>
      </c>
      <c r="AS5" s="16">
        <f t="shared" si="1"/>
        <v>46234</v>
      </c>
      <c r="AT5" s="16">
        <f t="shared" si="1"/>
        <v>46265</v>
      </c>
      <c r="AU5" s="16">
        <f t="shared" si="1"/>
        <v>46295</v>
      </c>
      <c r="AV5" s="16">
        <f t="shared" si="1"/>
        <v>46326</v>
      </c>
      <c r="AW5" s="16">
        <f t="shared" si="1"/>
        <v>46356</v>
      </c>
      <c r="AX5" s="16">
        <f t="shared" si="1"/>
        <v>46387</v>
      </c>
      <c r="AZ5" t="s">
        <v>69</v>
      </c>
      <c r="BA5" t="s">
        <v>70</v>
      </c>
      <c r="BB5" t="s">
        <v>71</v>
      </c>
    </row>
    <row r="6" spans="2:54" x14ac:dyDescent="0.35">
      <c r="B6" t="s">
        <v>1</v>
      </c>
    </row>
    <row r="7" spans="2:54" x14ac:dyDescent="0.35">
      <c r="B7" t="s">
        <v>2</v>
      </c>
    </row>
    <row r="8" spans="2:54" x14ac:dyDescent="0.35">
      <c r="B8" t="s">
        <v>3</v>
      </c>
    </row>
    <row r="9" spans="2:54" x14ac:dyDescent="0.35">
      <c r="B9" t="s">
        <v>4</v>
      </c>
    </row>
    <row r="10" spans="2:54" x14ac:dyDescent="0.35">
      <c r="B10" t="s">
        <v>5</v>
      </c>
    </row>
    <row r="11" spans="2:54" x14ac:dyDescent="0.35">
      <c r="B11" t="s">
        <v>6</v>
      </c>
    </row>
    <row r="12" spans="2:54" x14ac:dyDescent="0.35">
      <c r="B12" t="s">
        <v>7</v>
      </c>
    </row>
    <row r="13" spans="2:54" x14ac:dyDescent="0.35">
      <c r="B13" t="s">
        <v>8</v>
      </c>
    </row>
    <row r="14" spans="2:54" x14ac:dyDescent="0.35">
      <c r="B14" t="s">
        <v>9</v>
      </c>
    </row>
    <row r="15" spans="2:54" x14ac:dyDescent="0.35">
      <c r="B15" t="s">
        <v>18</v>
      </c>
    </row>
    <row r="16" spans="2:54" x14ac:dyDescent="0.35">
      <c r="B16" t="s">
        <v>19</v>
      </c>
    </row>
    <row r="17" spans="2:2" x14ac:dyDescent="0.35">
      <c r="B17" s="3" t="s">
        <v>10</v>
      </c>
    </row>
    <row r="18" spans="2:2" x14ac:dyDescent="0.35">
      <c r="B18" s="3" t="s">
        <v>11</v>
      </c>
    </row>
    <row r="19" spans="2:2" x14ac:dyDescent="0.35">
      <c r="B19" s="3" t="s">
        <v>12</v>
      </c>
    </row>
    <row r="20" spans="2:2" x14ac:dyDescent="0.35">
      <c r="B20" s="4" t="s">
        <v>14</v>
      </c>
    </row>
    <row r="21" spans="2:2" x14ac:dyDescent="0.35">
      <c r="B21" s="4" t="s">
        <v>13</v>
      </c>
    </row>
    <row r="22" spans="2:2" x14ac:dyDescent="0.35">
      <c r="B22" t="s">
        <v>15</v>
      </c>
    </row>
    <row r="23" spans="2:2" x14ac:dyDescent="0.35">
      <c r="B23" t="s">
        <v>16</v>
      </c>
    </row>
    <row r="24" spans="2:2" x14ac:dyDescent="0.35">
      <c r="B24" t="s">
        <v>17</v>
      </c>
    </row>
    <row r="26" spans="2:2" x14ac:dyDescent="0.35">
      <c r="B26" t="s">
        <v>20</v>
      </c>
    </row>
    <row r="27" spans="2:2" x14ac:dyDescent="0.35">
      <c r="B27" t="s">
        <v>18</v>
      </c>
    </row>
    <row r="28" spans="2:2" x14ac:dyDescent="0.35">
      <c r="B28" s="5" t="s">
        <v>21</v>
      </c>
    </row>
    <row r="29" spans="2:2" x14ac:dyDescent="0.35">
      <c r="B29" s="5" t="s">
        <v>22</v>
      </c>
    </row>
    <row r="30" spans="2:2" x14ac:dyDescent="0.35">
      <c r="B30" s="5" t="s">
        <v>23</v>
      </c>
    </row>
    <row r="31" spans="2:2" x14ac:dyDescent="0.35">
      <c r="B31" s="6" t="s">
        <v>24</v>
      </c>
    </row>
    <row r="32" spans="2:2" x14ac:dyDescent="0.35">
      <c r="B32" s="5" t="s">
        <v>25</v>
      </c>
    </row>
    <row r="33" spans="2:2" x14ac:dyDescent="0.35">
      <c r="B33" s="5" t="s">
        <v>26</v>
      </c>
    </row>
    <row r="34" spans="2:2" x14ac:dyDescent="0.35">
      <c r="B34" s="5" t="s">
        <v>27</v>
      </c>
    </row>
    <row r="35" spans="2:2" x14ac:dyDescent="0.35">
      <c r="B35" s="7" t="s">
        <v>28</v>
      </c>
    </row>
    <row r="36" spans="2:2" x14ac:dyDescent="0.35">
      <c r="B36" s="8" t="s">
        <v>29</v>
      </c>
    </row>
    <row r="37" spans="2:2" x14ac:dyDescent="0.35">
      <c r="B37" s="8" t="s">
        <v>30</v>
      </c>
    </row>
    <row r="38" spans="2:2" x14ac:dyDescent="0.35">
      <c r="B38" s="7" t="s">
        <v>31</v>
      </c>
    </row>
    <row r="39" spans="2:2" x14ac:dyDescent="0.35">
      <c r="B39" s="8" t="s">
        <v>32</v>
      </c>
    </row>
    <row r="40" spans="2:2" x14ac:dyDescent="0.35">
      <c r="B40" s="8" t="s">
        <v>33</v>
      </c>
    </row>
    <row r="41" spans="2:2" x14ac:dyDescent="0.35">
      <c r="B41" s="8" t="s">
        <v>34</v>
      </c>
    </row>
    <row r="42" spans="2:2" x14ac:dyDescent="0.35">
      <c r="B42" s="8" t="s">
        <v>35</v>
      </c>
    </row>
    <row r="43" spans="2:2" x14ac:dyDescent="0.35">
      <c r="B43" s="9" t="s">
        <v>36</v>
      </c>
    </row>
    <row r="44" spans="2:2" x14ac:dyDescent="0.35">
      <c r="B44" s="7" t="s">
        <v>37</v>
      </c>
    </row>
    <row r="47" spans="2:2" x14ac:dyDescent="0.35">
      <c r="B47" s="8" t="s">
        <v>38</v>
      </c>
    </row>
    <row r="48" spans="2:2" x14ac:dyDescent="0.35">
      <c r="B48" s="8" t="s">
        <v>39</v>
      </c>
    </row>
    <row r="49" spans="2:2" x14ac:dyDescent="0.35">
      <c r="B49" s="8" t="s">
        <v>40</v>
      </c>
    </row>
    <row r="50" spans="2:2" x14ac:dyDescent="0.35">
      <c r="B50" s="10" t="s">
        <v>41</v>
      </c>
    </row>
    <row r="51" spans="2:2" x14ac:dyDescent="0.35">
      <c r="B51" s="8" t="s">
        <v>42</v>
      </c>
    </row>
    <row r="52" spans="2:2" x14ac:dyDescent="0.35">
      <c r="B52" s="8" t="s">
        <v>43</v>
      </c>
    </row>
    <row r="53" spans="2:2" x14ac:dyDescent="0.35">
      <c r="B53" s="8" t="s">
        <v>44</v>
      </c>
    </row>
    <row r="54" spans="2:2" x14ac:dyDescent="0.35">
      <c r="B54" s="8" t="s">
        <v>45</v>
      </c>
    </row>
    <row r="55" spans="2:2" x14ac:dyDescent="0.35">
      <c r="B55" s="10" t="s">
        <v>46</v>
      </c>
    </row>
    <row r="56" spans="2:2" x14ac:dyDescent="0.35">
      <c r="B56" s="8" t="s">
        <v>47</v>
      </c>
    </row>
    <row r="57" spans="2:2" x14ac:dyDescent="0.35">
      <c r="B57" s="10" t="s">
        <v>48</v>
      </c>
    </row>
    <row r="58" spans="2:2" x14ac:dyDescent="0.35">
      <c r="B58" s="8" t="s">
        <v>49</v>
      </c>
    </row>
    <row r="59" spans="2:2" x14ac:dyDescent="0.35">
      <c r="B59" s="8" t="s">
        <v>50</v>
      </c>
    </row>
    <row r="60" spans="2:2" x14ac:dyDescent="0.35">
      <c r="B60" s="8" t="s">
        <v>51</v>
      </c>
    </row>
    <row r="61" spans="2:2" x14ac:dyDescent="0.35">
      <c r="B61" s="8" t="s">
        <v>52</v>
      </c>
    </row>
    <row r="62" spans="2:2" x14ac:dyDescent="0.35">
      <c r="B62" s="10" t="s">
        <v>53</v>
      </c>
    </row>
    <row r="63" spans="2:2" x14ac:dyDescent="0.35">
      <c r="B63" s="8" t="s">
        <v>54</v>
      </c>
    </row>
    <row r="64" spans="2:2" x14ac:dyDescent="0.35">
      <c r="B64" s="8" t="s">
        <v>55</v>
      </c>
    </row>
    <row r="65" spans="2:2" x14ac:dyDescent="0.35">
      <c r="B65" s="10" t="s">
        <v>56</v>
      </c>
    </row>
    <row r="66" spans="2:2" x14ac:dyDescent="0.35">
      <c r="B66" s="8" t="s">
        <v>57</v>
      </c>
    </row>
    <row r="67" spans="2:2" x14ac:dyDescent="0.35">
      <c r="B67" s="10" t="s">
        <v>58</v>
      </c>
    </row>
    <row r="68" spans="2:2" x14ac:dyDescent="0.35">
      <c r="B68" s="8" t="s">
        <v>59</v>
      </c>
    </row>
    <row r="69" spans="2:2" x14ac:dyDescent="0.35">
      <c r="B69" s="8" t="s">
        <v>60</v>
      </c>
    </row>
    <row r="70" spans="2:2" x14ac:dyDescent="0.35">
      <c r="B70" s="8" t="s">
        <v>61</v>
      </c>
    </row>
    <row r="71" spans="2:2" x14ac:dyDescent="0.35">
      <c r="B71" s="8" t="s">
        <v>62</v>
      </c>
    </row>
    <row r="72" spans="2:2" x14ac:dyDescent="0.35">
      <c r="B72" s="11" t="s">
        <v>63</v>
      </c>
    </row>
    <row r="73" spans="2:2" x14ac:dyDescent="0.35">
      <c r="B73" s="11" t="s">
        <v>64</v>
      </c>
    </row>
    <row r="74" spans="2:2" x14ac:dyDescent="0.35">
      <c r="B74" s="8" t="s">
        <v>65</v>
      </c>
    </row>
    <row r="75" spans="2:2" x14ac:dyDescent="0.35">
      <c r="B75" s="12" t="s">
        <v>66</v>
      </c>
    </row>
    <row r="76" spans="2:2" x14ac:dyDescent="0.35">
      <c r="B76" s="12" t="s">
        <v>67</v>
      </c>
    </row>
    <row r="77" spans="2:2" x14ac:dyDescent="0.35">
      <c r="B77" s="13" t="s">
        <v>68</v>
      </c>
    </row>
    <row r="80" spans="2:2" x14ac:dyDescent="0.35">
      <c r="B80" t="s">
        <v>72</v>
      </c>
    </row>
    <row r="81" spans="2:2" x14ac:dyDescent="0.35">
      <c r="B81" s="14" t="s">
        <v>73</v>
      </c>
    </row>
    <row r="82" spans="2:2" x14ac:dyDescent="0.35">
      <c r="B82" s="14" t="s">
        <v>73</v>
      </c>
    </row>
    <row r="83" spans="2:2" x14ac:dyDescent="0.35">
      <c r="B83" s="14" t="s">
        <v>73</v>
      </c>
    </row>
    <row r="84" spans="2:2" x14ac:dyDescent="0.35">
      <c r="B84" s="14" t="s">
        <v>73</v>
      </c>
    </row>
    <row r="85" spans="2:2" x14ac:dyDescent="0.35">
      <c r="B85" s="14" t="s">
        <v>73</v>
      </c>
    </row>
    <row r="86" spans="2:2" x14ac:dyDescent="0.35">
      <c r="B86" s="14" t="s">
        <v>73</v>
      </c>
    </row>
    <row r="87" spans="2:2" x14ac:dyDescent="0.35">
      <c r="B87" s="14" t="s">
        <v>73</v>
      </c>
    </row>
    <row r="88" spans="2:2" x14ac:dyDescent="0.35">
      <c r="B88" s="14" t="s">
        <v>73</v>
      </c>
    </row>
    <row r="89" spans="2:2" x14ac:dyDescent="0.35">
      <c r="B89" s="14" t="s">
        <v>73</v>
      </c>
    </row>
  </sheetData>
  <conditionalFormatting sqref="B28:B31">
    <cfRule type="expression" dxfId="7" priority="7">
      <formula>IF($A$14, IF(CELL("protect", B28) = 0, TRUE, FALSE))</formula>
    </cfRule>
  </conditionalFormatting>
  <conditionalFormatting sqref="B28:B31">
    <cfRule type="expression" dxfId="6" priority="8">
      <formula>INDEX($H$1:$H$300, ROW(B28)) = 2</formula>
    </cfRule>
  </conditionalFormatting>
  <conditionalFormatting sqref="B32:B34">
    <cfRule type="expression" dxfId="5" priority="5">
      <formula>IF($A$14, IF(CELL("protect", B32) = 0, TRUE, FALSE))</formula>
    </cfRule>
  </conditionalFormatting>
  <conditionalFormatting sqref="B32:B34">
    <cfRule type="expression" dxfId="4" priority="6">
      <formula>INDEX($H$1:$H$300, ROW(B32)) = 2</formula>
    </cfRule>
  </conditionalFormatting>
  <conditionalFormatting sqref="B35:B44">
    <cfRule type="expression" dxfId="3" priority="3">
      <formula>IF($A$14, IF(CELL("protect", B35) = 0, TRUE, FALSE))</formula>
    </cfRule>
  </conditionalFormatting>
  <conditionalFormatting sqref="B35:B44">
    <cfRule type="expression" dxfId="2" priority="4">
      <formula>INDEX($H$1:$H$300, ROW(B35)) = 2</formula>
    </cfRule>
  </conditionalFormatting>
  <conditionalFormatting sqref="B47:B77">
    <cfRule type="expression" dxfId="1" priority="1">
      <formula>IF($A$14, IF(CELL("protect", B47) = 0, TRUE, FALSE))</formula>
    </cfRule>
  </conditionalFormatting>
  <conditionalFormatting sqref="B47:B77">
    <cfRule type="expression" dxfId="0" priority="2">
      <formula>INDEX($H$1:$H$302, ROW(B47)) = 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Changez Ahmed</dc:creator>
  <cp:lastModifiedBy>Changez Ahmed</cp:lastModifiedBy>
  <dcterms:created xsi:type="dcterms:W3CDTF">2026-08-15T20:12:14Z</dcterms:created>
  <dcterms:modified xsi:type="dcterms:W3CDTF">2026-08-15T20:24:13Z</dcterms:modified>
</cp:coreProperties>
</file>