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UK_PL_EUR" sheetId="1"/>
    <sheet r:id="rId2" name="Group_BS_EUR" sheetId="2"/>
    <sheet r:id="rId3" name="KPI_Operational" sheetId="3"/>
    <sheet r:id="rId4" name="EBITDA_Normalisation" sheetId="4"/>
    <sheet r:id="rId5" name="US_Entity_USD" sheetId="5"/>
    <sheet r:id="rId6" name="Footnotes_FX" sheetId="6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<sst xmlns="http://schemas.openxmlformats.org/spreadsheetml/2006/main" count="429" uniqueCount="429">
  <si>
    <t>NetSuite Financial Report Export</t>
  </si>
  <si>
    <t>Helios Software Ltd — management accounts</t>
  </si>
  <si>
    <t>Exported 13-Jul-2026</t>
  </si>
  <si>
    <t>ACTUAL — posted / controller adjustments</t>
  </si>
  <si>
    <t>BUDGET — approved operating plan</t>
  </si>
  <si>
    <t>Legal entity</t>
  </si>
  <si>
    <t>Department</t>
  </si>
  <si>
    <t>Cost centre</t>
  </si>
  <si>
    <t>Account code</t>
  </si>
  <si>
    <t>Account name</t>
  </si>
  <si>
    <t>Unit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</si>
  <si>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</si>
  <si>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</si>
  <si>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</si>
  <si>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</si>
  <si>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</si>
  <si>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</si>
  <si>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</si>
  <si>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</si>
  <si>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Sept-2024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</si>
  <si>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</si>
  <si>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</si>
  <si>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</si>
  <si>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</si>
  <si>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</si>
  <si>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</si>
  <si>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</si>
  <si>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</si>
  <si>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</si>
  <si>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</si>
  <si>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</si>
  <si>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Sept-2025</t>
  </si>
  <si>
    <t>Oct-2025</t>
  </si>
  <si>
    <t>Nov-2025</t>
  </si>
  <si>
    <t>Dec-2025</t>
  </si>
  <si>
    <t>Helios Software Ltd</t>
  </si>
  <si>
    <t>Commercial - EMEA</t>
  </si>
  <si>
    <t>CC-110</t>
  </si>
  <si>
    <t>SaaS Recurring–EMEA</t>
  </si>
  <si>
    <t>EUR '000</t>
  </si>
  <si>
    <t>SaaS Recurring–EMEA / enterprise</t>
  </si>
  <si>
    <t>Implementation &amp; Onboarding</t>
  </si>
  <si>
    <t>--</t>
  </si>
  <si>
    <t>SUB</t>
  </si>
  <si>
    <t>Commercial EMEA ledger subtotal</t>
  </si>
  <si>
    <t/>
  </si>
  <si>
    <t>Commercial - Americas</t>
  </si>
  <si>
    <t>CC-120</t>
  </si>
  <si>
    <t>SaaS Recurring–Americas</t>
  </si>
  <si>
    <t>SaaS Recurring–Americas / enterprise</t>
  </si>
  <si>
    <t>Implementation &amp; Onboarding / Americas</t>
  </si>
  <si>
    <t>Commercial Americas ledger subtotal</t>
  </si>
  <si>
    <t>Commercial - APAC</t>
  </si>
  <si>
    <t>CC-130</t>
  </si>
  <si>
    <t>SaaS Recurring–APAC</t>
  </si>
  <si>
    <t>Implementation &amp; Onboarding / APAC</t>
  </si>
  <si>
    <t>Commercial APAC ledger subtotal</t>
  </si>
  <si>
    <t>Customer Operations</t>
  </si>
  <si>
    <t>CC-210</t>
  </si>
  <si>
    <t>Managed Services</t>
  </si>
  <si>
    <t>Training &amp; Certification</t>
  </si>
  <si>
    <t>Support salaries</t>
  </si>
  <si>
    <t>Support contractors</t>
  </si>
  <si>
    <t>Support tooling &amp; telephony</t>
  </si>
  <si>
    <t>Customer Operations ledger subtotal</t>
  </si>
  <si>
    <t>Alliances</t>
  </si>
  <si>
    <t>CC-140</t>
  </si>
  <si>
    <t>Partner/Reseller</t>
  </si>
  <si>
    <t>Other income</t>
  </si>
  <si>
    <t>Sales commissions / channel</t>
  </si>
  <si>
    <t>Alliances ledger subtotal</t>
  </si>
  <si>
    <t>Cloud Operations</t>
  </si>
  <si>
    <t>CC-220</t>
  </si>
  <si>
    <t>Cloud hosting–AWS</t>
  </si>
  <si>
    <t>Cloud hosting–Azure</t>
  </si>
  <si>
    <t>3rd-party licences</t>
  </si>
  <si>
    <t>Observability &amp; data transfer</t>
  </si>
  <si>
    <t>Security scanning subscriptions</t>
  </si>
  <si>
    <t>Cloud Operations ledger subtotal</t>
  </si>
  <si>
    <t>Professional Services</t>
  </si>
  <si>
    <t>CC-230</t>
  </si>
  <si>
    <t>PS delivery cost</t>
  </si>
  <si>
    <t>PS delivery subcontractors</t>
  </si>
  <si>
    <t>PS travel &amp; project expenses</t>
  </si>
  <si>
    <t>Professional Services ledger subtotal</t>
  </si>
  <si>
    <t>Field Sales - EMEA</t>
  </si>
  <si>
    <t>CC-310</t>
  </si>
  <si>
    <t>Sales salaries / EMEA</t>
  </si>
  <si>
    <t>Sales commissions / EMEA</t>
  </si>
  <si>
    <t>Sales travel &amp; entertainment / EMEA</t>
  </si>
  <si>
    <t>Field Sales EMEA ledger subtotal</t>
  </si>
  <si>
    <t>Field Sales - Americas</t>
  </si>
  <si>
    <t>CC-320</t>
  </si>
  <si>
    <t>Sales salaries / Americas</t>
  </si>
  <si>
    <t>Sales commissions / Americas</t>
  </si>
  <si>
    <t>Sales travel &amp; entertainment / Americas</t>
  </si>
  <si>
    <t>Field Sales Americas ledger subtotal</t>
  </si>
  <si>
    <t>Field Sales - APAC</t>
  </si>
  <si>
    <t>CC-330</t>
  </si>
  <si>
    <t>Sales salaries / APAC</t>
  </si>
  <si>
    <t>Sales commissions / APAC</t>
  </si>
  <si>
    <t>Sales travel &amp; entertainment / APAC</t>
  </si>
  <si>
    <t>Field Sales APAC ledger subtotal</t>
  </si>
  <si>
    <t>Marketing</t>
  </si>
  <si>
    <t>CC-340</t>
  </si>
  <si>
    <t>Marketing programs</t>
  </si>
  <si>
    <t>Marketing salaries</t>
  </si>
  <si>
    <t>Events, content &amp; analyst relations</t>
  </si>
  <si>
    <t>Digital demand generation</t>
  </si>
  <si>
    <t>Marketing ledger subtotal</t>
  </si>
  <si>
    <t>Engineering</t>
  </si>
  <si>
    <t>CC-410</t>
  </si>
  <si>
    <t>Engineering salaries</t>
  </si>
  <si>
    <t>Engineering contractors</t>
  </si>
  <si>
    <t>Engineering software &amp; tooling</t>
  </si>
  <si>
    <t>Engineering recruitment &amp; travel</t>
  </si>
  <si>
    <t>Engineering ledger subtotal</t>
  </si>
  <si>
    <t>Product</t>
  </si>
  <si>
    <t>CC-420</t>
  </si>
  <si>
    <t>Product salaries</t>
  </si>
  <si>
    <t>Product research &amp; design</t>
  </si>
  <si>
    <t>Product data subscriptions</t>
  </si>
  <si>
    <t>Product ledger subtotal</t>
  </si>
  <si>
    <t>Corporate Services</t>
  </si>
  <si>
    <t>CC-500</t>
  </si>
  <si>
    <t>Finance</t>
  </si>
  <si>
    <t>People/HR</t>
  </si>
  <si>
    <t>IT &amp; facilities</t>
  </si>
  <si>
    <t>Legal &amp; compliance</t>
  </si>
  <si>
    <t>Executive</t>
  </si>
  <si>
    <t>Audit, tax &amp; insurance</t>
  </si>
  <si>
    <t>Office rent &amp; utilities</t>
  </si>
  <si>
    <t>Corporate Services ledger subtotal</t>
  </si>
  <si>
    <t>Fixed Assets</t>
  </si>
  <si>
    <t>CC-900</t>
  </si>
  <si>
    <t>Deprec–equipment</t>
  </si>
  <si>
    <t>Deprec–leasehold</t>
  </si>
  <si>
    <t>Amort–intangibles</t>
  </si>
  <si>
    <t>Amort–capitalised dev</t>
  </si>
  <si>
    <t>Fixed Assets ledger subtotal</t>
  </si>
  <si>
    <t>Treasury &amp; Tax</t>
  </si>
  <si>
    <t>CC-910</t>
  </si>
  <si>
    <t>Net interest–senior</t>
  </si>
  <si>
    <t>Net interest–shareholder loan</t>
  </si>
  <si>
    <t>Corporation tax</t>
  </si>
  <si>
    <t>Deferred tax</t>
  </si>
  <si>
    <t>Treasury &amp; Tax ledger subtotal</t>
  </si>
  <si>
    <t>Controller review</t>
  </si>
  <si>
    <t>CC-999</t>
  </si>
  <si>
    <t>CHK</t>
  </si>
  <si>
    <t>UK ledger movement incl. tax</t>
  </si>
  <si>
    <t>NetSuite Balance Sheet Export</t>
  </si>
  <si>
    <t>Helios Software Group — consolidation ledger</t>
  </si>
  <si>
    <t>Reporting currency: EUR</t>
  </si>
  <si>
    <t>ACTUAL — month end closing balances</t>
  </si>
  <si>
    <t>BUDGET — month end plan balances</t>
  </si>
  <si>
    <t>Treasury</t>
  </si>
  <si>
    <t>Cash</t>
  </si>
  <si>
    <t>Restricted cash</t>
  </si>
  <si>
    <t>Payment processor clearing</t>
  </si>
  <si>
    <t>Treasury ledger subtotal</t>
  </si>
  <si>
    <t>Customer Billing</t>
  </si>
  <si>
    <t>CC-215</t>
  </si>
  <si>
    <t>Trade receivables</t>
  </si>
  <si>
    <t>Accrued subscription income</t>
  </si>
  <si>
    <t>Contract assets</t>
  </si>
  <si>
    <t>Allowance for doubtful accounts</t>
  </si>
  <si>
    <t>Customer Billing ledger subtotal</t>
  </si>
  <si>
    <t>Procurement</t>
  </si>
  <si>
    <t>CC-505</t>
  </si>
  <si>
    <t>Prepayments</t>
  </si>
  <si>
    <t>Supplier deposits</t>
  </si>
  <si>
    <t>Inventory/WIP</t>
  </si>
  <si>
    <t>VAT &amp; sales tax receivable</t>
  </si>
  <si>
    <t>Procurement debit-balance subtotal</t>
  </si>
  <si>
    <t>Computer equipment at cost</t>
  </si>
  <si>
    <t>Accumulated deprec–equipment</t>
  </si>
  <si>
    <t>Leasehold improvements at cost</t>
  </si>
  <si>
    <t>Accumulated deprec–leasehold</t>
  </si>
  <si>
    <t>Purchased intangibles at cost</t>
  </si>
  <si>
    <t>Accumulated amort–intangibles</t>
  </si>
  <si>
    <t>Capitalised development cost</t>
  </si>
  <si>
    <t>Accumulated amort–capitalised dev</t>
  </si>
  <si>
    <t>Fixed Assets register subtotal</t>
  </si>
  <si>
    <t>Helios Software Inc.</t>
  </si>
  <si>
    <t>US Working Capital</t>
  </si>
  <si>
    <t>CC-US1</t>
  </si>
  <si>
    <t>US cash translated to EUR</t>
  </si>
  <si>
    <t>US trade receivables translated</t>
  </si>
  <si>
    <t>US intercompany receivable</t>
  </si>
  <si>
    <t>US lease right-of-use asset</t>
  </si>
  <si>
    <t>US consolidation debit subtotal</t>
  </si>
  <si>
    <t>Accounts Payable</t>
  </si>
  <si>
    <t>CC-506</t>
  </si>
  <si>
    <t>Trade payables</t>
  </si>
  <si>
    <t>Accrued hosting costs</t>
  </si>
  <si>
    <t>Payroll &amp; commission accruals</t>
  </si>
  <si>
    <t>VAT &amp; payroll taxes payable</t>
  </si>
  <si>
    <t>Deferred subscription billings</t>
  </si>
  <si>
    <t>Other accruals</t>
  </si>
  <si>
    <t>Accounts Payable ledger subtotal</t>
  </si>
  <si>
    <t>Facilities &amp; Tax</t>
  </si>
  <si>
    <t>Current lease liabilities</t>
  </si>
  <si>
    <t>Non-current lease liabilities</t>
  </si>
  <si>
    <t>Corporation tax payable</t>
  </si>
  <si>
    <t>Deferred tax liability</t>
  </si>
  <si>
    <t>Employee leave provision</t>
  </si>
  <si>
    <t>Facilities &amp; Tax ledger subtotal</t>
  </si>
  <si>
    <t>US trade payables translated</t>
  </si>
  <si>
    <t>US payroll accrual translated</t>
  </si>
  <si>
    <t>US intercompany payable</t>
  </si>
  <si>
    <t>US deferred billings translated</t>
  </si>
  <si>
    <t>US consolidation credit subtotal</t>
  </si>
  <si>
    <t>Helios Holdings Ltd</t>
  </si>
  <si>
    <t>Group Financing</t>
  </si>
  <si>
    <t>CC-920</t>
  </si>
  <si>
    <t>Senior facility–Term Loan A</t>
  </si>
  <si>
    <t>Senior facility–Term Loan B</t>
  </si>
  <si>
    <t>Second lien notes</t>
  </si>
  <si>
    <t>Shareholder loan notes</t>
  </si>
  <si>
    <t>Accrued PIK interest</t>
  </si>
  <si>
    <t>Debt issue costs</t>
  </si>
  <si>
    <t>Group Financing ledger subtotal</t>
  </si>
  <si>
    <t>Equity &amp; Reserves</t>
  </si>
  <si>
    <t>CC-930</t>
  </si>
  <si>
    <t>Ordinary share capital</t>
  </si>
  <si>
    <t>Share premium</t>
  </si>
  <si>
    <t>Share-based payment reserve</t>
  </si>
  <si>
    <t>Foreign currency translation reserve</t>
  </si>
  <si>
    <t>Retained earnings / consolidation reserve</t>
  </si>
  <si>
    <t>Current period ledger result</t>
  </si>
  <si>
    <t>Equity &amp; Reserves ledger subtotal</t>
  </si>
  <si>
    <t>Group Consolidation</t>
  </si>
  <si>
    <t>Monthly ledger control difference</t>
  </si>
  <si>
    <t>NetSuite Operational Metrics Export</t>
  </si>
  <si>
    <t>Helios Software Group — controller KPI load</t>
  </si>
  <si>
    <t>Units vary by metric</t>
  </si>
  <si>
    <t>ACTUAL — monthly operating statistics</t>
  </si>
  <si>
    <t>Metric code</t>
  </si>
  <si>
    <t>Metric name</t>
  </si>
  <si>
    <t>Helios Software Group</t>
  </si>
  <si>
    <t>Commercial Operations</t>
  </si>
  <si>
    <t>CC-100</t>
  </si>
  <si>
    <t>KPI-001</t>
  </si>
  <si>
    <t>ARR</t>
  </si>
  <si>
    <t>€m</t>
  </si>
  <si>
    <t>KPI-002</t>
  </si>
  <si>
    <t>Net new ARR</t>
  </si>
  <si>
    <t>KPI-003</t>
  </si>
  <si>
    <t>Bookings</t>
  </si>
  <si>
    <t>KPI-004</t>
  </si>
  <si>
    <t>Pipeline coverage</t>
  </si>
  <si>
    <t>x</t>
  </si>
  <si>
    <t>KPI-005</t>
  </si>
  <si>
    <t>CAC</t>
  </si>
  <si>
    <t>€k</t>
  </si>
  <si>
    <t>KPI-006</t>
  </si>
  <si>
    <t>LTV</t>
  </si>
  <si>
    <t>KPI-007</t>
  </si>
  <si>
    <t>Magic number</t>
  </si>
  <si>
    <t>KPI-010</t>
  </si>
  <si>
    <t>Gross churn (logo) %</t>
  </si>
  <si>
    <t>%</t>
  </si>
  <si>
    <t>KPI-011</t>
  </si>
  <si>
    <t>Gross churn (revenue) %</t>
  </si>
  <si>
    <t>KPI-012</t>
  </si>
  <si>
    <t>Net revenue retention %</t>
  </si>
  <si>
    <t>Field Sales</t>
  </si>
  <si>
    <t>FTE-310</t>
  </si>
  <si>
    <t>Sales FTE</t>
  </si>
  <si>
    <t>FTE</t>
  </si>
  <si>
    <t>FTE-340</t>
  </si>
  <si>
    <t>Marketing FTE</t>
  </si>
  <si>
    <t>FTE-410</t>
  </si>
  <si>
    <t>Engineering FTE</t>
  </si>
  <si>
    <t>FTE-420</t>
  </si>
  <si>
    <t>Product FTE</t>
  </si>
  <si>
    <t>FTE-210</t>
  </si>
  <si>
    <t>Support &amp; Success FTE</t>
  </si>
  <si>
    <t>FTE-230</t>
  </si>
  <si>
    <t>Professional Services FTE</t>
  </si>
  <si>
    <t>CC-510</t>
  </si>
  <si>
    <t>FTE-510</t>
  </si>
  <si>
    <t>Finance FTE</t>
  </si>
  <si>
    <t>CC-520</t>
  </si>
  <si>
    <t>FTE-520</t>
  </si>
  <si>
    <t>People/HR FTE</t>
  </si>
  <si>
    <t>IT &amp; Facilities</t>
  </si>
  <si>
    <t>CC-530</t>
  </si>
  <si>
    <t>FTE-530</t>
  </si>
  <si>
    <t>IT &amp; Facilities FTE</t>
  </si>
  <si>
    <t>Legal &amp; Compliance</t>
  </si>
  <si>
    <t>CC-540</t>
  </si>
  <si>
    <t>FTE-540</t>
  </si>
  <si>
    <t>Legal &amp; Compliance FTE</t>
  </si>
  <si>
    <t>CC-550</t>
  </si>
  <si>
    <t>FTE-550</t>
  </si>
  <si>
    <t>Executive FTE</t>
  </si>
  <si>
    <t>FTE-SUB</t>
  </si>
  <si>
    <t>Workforce register total</t>
  </si>
  <si>
    <t>CTR-001</t>
  </si>
  <si>
    <t>Contractors</t>
  </si>
  <si>
    <t>NetSuite Management Adjustment Export</t>
  </si>
  <si>
    <t>Helios Software Group — EBITDA normalisation register</t>
  </si>
  <si>
    <t>Positive values increase adjusted result</t>
  </si>
  <si>
    <t>ACTUAL — controller approved</t>
  </si>
  <si>
    <t>Restructuring &amp; redundancy</t>
  </si>
  <si>
    <t>Share-based payments (IFRS 2)</t>
  </si>
  <si>
    <t>People/HR adjustment register subtotal</t>
  </si>
  <si>
    <t>Corporate Development</t>
  </si>
  <si>
    <t>CC-940</t>
  </si>
  <si>
    <t>M&amp;A/transaction fees</t>
  </si>
  <si>
    <t>Sponsor monitoring fee</t>
  </si>
  <si>
    <t>Corporate Development adjustment register subtotal</t>
  </si>
  <si>
    <t>Legal settlement (one-off)</t>
  </si>
  <si>
    <t>Lease exit &amp; dilapidation provision</t>
  </si>
  <si>
    <t>Legal &amp; Compliance adjustment register subtotal</t>
  </si>
  <si>
    <t>ERP implementation costs</t>
  </si>
  <si>
    <t>Cyber incident response</t>
  </si>
  <si>
    <t>IT &amp; Facilities adjustment register subtotal</t>
  </si>
  <si>
    <t>FX revaluation (non-cash)</t>
  </si>
  <si>
    <t>Treasury adjustment register subtotal</t>
  </si>
  <si>
    <t>Controller Review</t>
  </si>
  <si>
    <t>Controller-approved adjustment register total</t>
  </si>
  <si>
    <t>Helios Software Inc. — standalone ledger</t>
  </si>
  <si>
    <t>Reporting currency: USD</t>
  </si>
  <si>
    <t>CC-US120</t>
  </si>
  <si>
    <t>USD $'000</t>
  </si>
  <si>
    <t>SaaS Recurring–Americas / mid-market</t>
  </si>
  <si>
    <t>Implementation &amp; Onboarding / US</t>
  </si>
  <si>
    <t>Managed Services / US</t>
  </si>
  <si>
    <t>US Commercial ledger subtotal</t>
  </si>
  <si>
    <t>Cloud &amp; Customer Operations</t>
  </si>
  <si>
    <t>CC-US220</t>
  </si>
  <si>
    <t>Cloud hosting–AWS / US</t>
  </si>
  <si>
    <t>Cloud hosting–Azure / US</t>
  </si>
  <si>
    <t>3rd-party licences / US</t>
  </si>
  <si>
    <t>Support salaries / US</t>
  </si>
  <si>
    <t>Support contractors / US</t>
  </si>
  <si>
    <t>US Cloud &amp; Customer Ops ledger subtotal</t>
  </si>
  <si>
    <t>CC-US320</t>
  </si>
  <si>
    <t>Sales salaries / US</t>
  </si>
  <si>
    <t>Sales commissions / US</t>
  </si>
  <si>
    <t>Marketing programs / US</t>
  </si>
  <si>
    <t>Marketing salaries / US</t>
  </si>
  <si>
    <t>Sales travel &amp; entertainment / US</t>
  </si>
  <si>
    <t>US Go-to-market ledger subtotal</t>
  </si>
  <si>
    <t>Engineering - Americas</t>
  </si>
  <si>
    <t>CC-US410</t>
  </si>
  <si>
    <t>Engineering salaries / US</t>
  </si>
  <si>
    <t>Product salaries / US</t>
  </si>
  <si>
    <t>Engineering software &amp; tooling / US</t>
  </si>
  <si>
    <t>US Engineering ledger subtotal</t>
  </si>
  <si>
    <t>Corporate Services - US</t>
  </si>
  <si>
    <t>CC-US500</t>
  </si>
  <si>
    <t>Finance / US</t>
  </si>
  <si>
    <t>People/HR / US</t>
  </si>
  <si>
    <t>IT &amp; facilities / US</t>
  </si>
  <si>
    <t>Legal &amp; compliance / US</t>
  </si>
  <si>
    <t>Executive / US</t>
  </si>
  <si>
    <t>US Corporate Services ledger subtotal</t>
  </si>
  <si>
    <t>Fixed Assets &amp; Tax - US</t>
  </si>
  <si>
    <t>CC-US900</t>
  </si>
  <si>
    <t>Deprec–equipment / US</t>
  </si>
  <si>
    <t>Amort–intangibles / US</t>
  </si>
  <si>
    <t>Net interest–senior / US allocation</t>
  </si>
  <si>
    <t>Corporation tax / US</t>
  </si>
  <si>
    <t>Deferred tax / US</t>
  </si>
  <si>
    <t>US Fixed Assets &amp; Tax ledger subtotal</t>
  </si>
  <si>
    <t>US Controller Review</t>
  </si>
  <si>
    <t>CC-US999</t>
  </si>
  <si>
    <t>US entity ledger movement incl. tax</t>
  </si>
  <si>
    <t>NetSuite Translation Rate Export</t>
  </si>
  <si>
    <t>Helios Software Group — controller rate table</t>
  </si>
  <si>
    <t>Rates approved for monthly close</t>
  </si>
  <si>
    <t>ACTUAL — monthly rate</t>
  </si>
  <si>
    <t>BUDGET — planning rate</t>
  </si>
  <si>
    <t>Rate code</t>
  </si>
  <si>
    <t>Rate description</t>
  </si>
  <si>
    <t>FX-USD-AVG</t>
  </si>
  <si>
    <t>USD average rate</t>
  </si>
  <si>
    <t>EUR per USD</t>
  </si>
  <si>
    <t>FX-USD-CLOSE</t>
  </si>
  <si>
    <t>USD closing rate</t>
  </si>
  <si>
    <t>FX-GBP-AVG</t>
  </si>
  <si>
    <t>GBP average rate</t>
  </si>
  <si>
    <t>EUR per GBP</t>
  </si>
  <si>
    <t>FX-GBP-CLOSE</t>
  </si>
  <si>
    <t>GBP closing rate</t>
  </si>
  <si>
    <t>FX-AUD-AVG</t>
  </si>
  <si>
    <t>AUD average rate</t>
  </si>
  <si>
    <t>EUR per AUD</t>
  </si>
  <si>
    <t>FX-AUD-CLOSE</t>
  </si>
  <si>
    <t>AUD closing rate</t>
  </si>
  <si>
    <t>Controller footnotes</t>
  </si>
  <si>
    <t>Note ID</t>
  </si>
  <si>
    <t>Applies to</t>
  </si>
  <si>
    <t>Controller note</t>
  </si>
  <si>
    <t>Owner</t>
  </si>
  <si>
    <t>Last updated</t>
  </si>
  <si>
    <t>FN-01</t>
  </si>
  <si>
    <t>UK_PL_EUR</t>
  </si>
  <si>
    <t>Recurring subscriptions recognised ratably over the contracted service period; implementation fees recognised as delivered.</t>
  </si>
  <si>
    <t>Financial Controller</t>
  </si>
  <si>
    <t>31-Dec-2025</t>
  </si>
  <si>
    <t>FN-02</t>
  </si>
  <si>
    <t>Capitalised development payroll is excluded from engineering expense only after technical-feasibility approval; amortisation remains in account 7110.</t>
  </si>
  <si>
    <t>FN-03</t>
  </si>
  <si>
    <t>Group_BS_EUR</t>
  </si>
  <si>
    <t>Foreign subsidiaries are translated using closing rates for balance sheet accounts and monthly average rates for monthly activity.</t>
  </si>
  <si>
    <t>Group Reporting</t>
  </si>
  <si>
    <t>FN-04</t>
  </si>
  <si>
    <t>US_Entity_USD</t>
  </si>
  <si>
    <t>The US entity tab is standalone USD and is not additive to the consolidated EUR balance sheet without translation and eliminations.</t>
  </si>
  <si>
    <t>FN-05</t>
  </si>
  <si>
    <t>All data tabs</t>
  </si>
  <si>
    <t>A dash represents a true zero balance or no activity, not missing data. Negative values are displayed in parentheses.</t>
  </si>
  <si>
    <t>FN-06</t>
  </si>
  <si>
    <t>Budget block contains the same Jan-2024 to Dec-2025 periods as actuals; variances reflect the approved operating plan.</t>
  </si>
  <si>
    <t>FP&amp;A</t>
  </si>
  <si>
    <t>FN-07</t>
  </si>
  <si>
    <t>EBITDA_Normalisation</t>
  </si>
  <si>
    <t>Positive entries increase the controller-adjusted result. FX revaluation may reverse sign and is retained as a non-cash reconciling item.</t>
  </si>
  <si>
    <t>FN-08</t>
  </si>
  <si>
    <t>Retained earnings / consolidation reserve is the ledger balancing reserve after current-period activity and translation entries.</t>
  </si>
  <si>
    <t>FN-09</t>
  </si>
  <si>
    <t>KPI_Operational</t>
  </si>
  <si>
    <t>ARR is shown in EUR millions; headcount and contractors are FTE; churn and NRR are percentages; CAC and LTV are EUR thousands.</t>
  </si>
  <si>
    <t>Revenue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</si>
</sst>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05089" formatCode="_(#,##0.0_);\(#,##0.0\);-"/>
    <numFmt numFmtId="213076" formatCode="0.0"/>
    <numFmt numFmtId="213223" formatCode="0.00x"/>
    <numFmt numFmtId="213468" formatCode="0.0%"/>
    <numFmt numFmtId="216604" formatCode="0.0000"/>
  </numFmts>
  <fonts count="15">
    <font>
      <b val="0"/>
      <i val="0"/>
      <sz val="12"/>
      <color theme="1"/>
      <name val="Aptos Narrow"/>
      <scheme val="minor"/>
    </font>
    <font>
      <b/>
      <i val="0"/>
      <sz val="11"/>
      <color theme="1"/>
      <name val="Arial"/>
    </font>
    <font>
      <b/>
      <i val="0"/>
      <sz val="10"/>
      <color rgb="FFFFFFFF"/>
      <name val="Arial"/>
    </font>
    <font>
      <b val="0"/>
      <i val="0"/>
      <sz val="10"/>
      <color theme="1"/>
      <name val="Arial"/>
    </font>
    <font>
      <b val="0"/>
      <i val="0"/>
      <sz val="10"/>
      <color rgb="FF0000FF"/>
      <name val="Arial"/>
    </font>
    <font>
      <b/>
      <i val="0"/>
      <sz val="10"/>
      <color theme="1"/>
      <name val="Arial"/>
    </font>
    <font>
      <b/>
      <i val="0"/>
      <sz val="10"/>
      <color rgb="FF000000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436987"/>
      </patternFill>
    </fill>
    <fill>
      <patternFill patternType="solid">
        <fgColor rgb="FFE7EBEF"/>
      </patternFill>
    </fill>
    <fill>
      <patternFill patternType="solid">
        <fgColor rgb="FFD8E2EA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9AA6B2"/>
      </top>
      <bottom/>
      <diagonal/>
    </border>
    <border>
      <left/>
      <right/>
      <top style="double">
        <color rgb="FF1B2A4A"/>
      </top>
      <bottom/>
      <diagonal/>
    </border>
    <border>
      <top style="thin">
        <color rgb="FF9AA6B2"/>
      </top>
    </border>
    <border>
      <top style="double">
        <color rgb="FF1B2A4A"/>
      </top>
    </border>
  </borders>
  <cellStyleXfs count="1">
    <xf numFmtId="0" fontId="0" fillId="0" borderId="1"/>
  </cellStyleXfs>
  <cellXfs count="46">
    <xf numFmtId="0" fontId="0" fillId="0" borderId="1" xfId="0"/>
    <xf numFmtId="0" fontId="1" fillId="2" borderId="1" xfId="0">
      <alignment vertical="center"/>
    </xf>
    <xf numFmtId="0" fontId="1" fillId="3" borderId="1" xfId="0">
      <alignment vertical="center"/>
    </xf>
    <xf numFmtId="0" fontId="2" fillId="4" borderId="1" xfId="0">
      <alignment vertical="center" wrapText="1"/>
    </xf>
    <xf numFmtId="0" fontId="2" fillId="3" borderId="1" xfId="0">
      <alignment vertical="center" wrapText="1"/>
    </xf>
    <xf numFmtId="0" fontId="3" fillId="0" borderId="1" xfId="0">
      <alignment vertical="center"/>
    </xf>
    <xf numFmtId="205089" fontId="4" fillId="0" borderId="1" xfId="0">
      <alignment vertical="center"/>
    </xf>
    <xf numFmtId="205089" fontId="3" fillId="3" borderId="1" xfId="0">
      <alignment vertical="center"/>
    </xf>
    <xf numFmtId="0" fontId="5" fillId="5" borderId="2" xfId="0">
      <alignment vertical="center"/>
    </xf>
    <xf numFmtId="205089" fontId="6" fillId="5" borderId="2" xfId="0">
      <alignment vertical="center"/>
    </xf>
    <xf numFmtId="205089" fontId="5" fillId="3" borderId="2" xfId="0">
      <alignment vertical="center"/>
    </xf>
    <xf numFmtId="205089" fontId="3" fillId="0" borderId="1" xfId="0">
      <alignment vertical="center"/>
    </xf>
    <xf numFmtId="0" fontId="5" fillId="6" borderId="3" xfId="0">
      <alignment vertical="center"/>
    </xf>
    <xf numFmtId="205089" fontId="6" fillId="6" borderId="3" xfId="0">
      <alignment vertical="center"/>
    </xf>
    <xf numFmtId="205089" fontId="5" fillId="3" borderId="3" xfId="0">
      <alignment vertical="center"/>
    </xf>
    <xf numFmtId="0" fontId="7" fillId="2" borderId="0" xfId="0">
      <alignment vertical="top"/>
    </xf>
    <xf numFmtId="0" fontId="7" fillId="3" borderId="0" xfId="0">
      <alignment vertical="top"/>
    </xf>
    <xf numFmtId="0" fontId="8" fillId="4" borderId="0" xfId="0">
      <alignment vertical="top" wrapText="1"/>
    </xf>
    <xf numFmtId="0" fontId="8" fillId="3" borderId="0" xfId="0">
      <alignment vertical="top" wrapText="1"/>
    </xf>
    <xf numFmtId="0" fontId="9" fillId="0" borderId="0" xfId="0">
      <alignment vertical="top"/>
    </xf>
    <xf numFmtId="205089" fontId="10" fillId="0" borderId="0" xfId="0">
      <alignment vertical="top"/>
    </xf>
    <xf numFmtId="205089" fontId="9" fillId="3" borderId="0" xfId="0">
      <alignment vertical="top"/>
    </xf>
    <xf numFmtId="0" fontId="11" fillId="5" borderId="4" xfId="0">
      <alignment vertical="top"/>
    </xf>
    <xf numFmtId="205089" fontId="12" fillId="5" borderId="4" xfId="0">
      <alignment vertical="top"/>
    </xf>
    <xf numFmtId="205089" fontId="11" fillId="3" borderId="4" xfId="0">
      <alignment vertical="top"/>
    </xf>
    <xf numFmtId="205089" fontId="9" fillId="0" borderId="0" xfId="0">
      <alignment vertical="top"/>
    </xf>
    <xf numFmtId="205089" fontId="13" fillId="0" borderId="0" xfId="0">
      <alignment vertical="top"/>
    </xf>
    <xf numFmtId="205089" fontId="14" fillId="0" borderId="0" xfId="0">
      <alignment vertical="top"/>
    </xf>
    <xf numFmtId="0" fontId="11" fillId="6" borderId="5" xfId="0">
      <alignment vertical="top"/>
    </xf>
    <xf numFmtId="205089" fontId="12" fillId="6" borderId="5" xfId="0">
      <alignment vertical="top"/>
    </xf>
    <xf numFmtId="205089" fontId="11" fillId="3" borderId="5" xfId="0">
      <alignment vertical="top"/>
    </xf>
    <xf numFmtId="213076" fontId="10" fillId="0" borderId="0" xfId="0">
      <alignment vertical="top"/>
    </xf>
    <xf numFmtId="213076" fontId="9" fillId="3" borderId="0" xfId="0">
      <alignment vertical="top"/>
    </xf>
    <xf numFmtId="213223" fontId="10" fillId="0" borderId="0" xfId="0">
      <alignment vertical="top"/>
    </xf>
    <xf numFmtId="213223" fontId="9" fillId="3" borderId="0" xfId="0">
      <alignment vertical="top"/>
    </xf>
    <xf numFmtId="213076" fontId="9" fillId="0" borderId="0" xfId="0">
      <alignment vertical="top"/>
    </xf>
    <xf numFmtId="213468" fontId="10" fillId="0" borderId="0" xfId="0">
      <alignment vertical="top"/>
    </xf>
    <xf numFmtId="213468" fontId="9" fillId="3" borderId="0" xfId="0">
      <alignment vertical="top"/>
    </xf>
    <xf numFmtId="3" fontId="10" fillId="0" borderId="0" xfId="0">
      <alignment vertical="top"/>
    </xf>
    <xf numFmtId="3" fontId="9" fillId="3" borderId="0" xfId="0">
      <alignment vertical="top"/>
    </xf>
    <xf numFmtId="3" fontId="12" fillId="5" borderId="4" xfId="0">
      <alignment vertical="top"/>
    </xf>
    <xf numFmtId="3" fontId="11" fillId="3" borderId="4" xfId="0">
      <alignment vertical="top"/>
    </xf>
    <xf numFmtId="216604" fontId="10" fillId="0" borderId="0" xfId="0">
      <alignment vertical="top"/>
    </xf>
    <xf numFmtId="216604" fontId="9" fillId="3" borderId="0" xfId="0">
      <alignment vertical="top"/>
    </xf>
    <xf numFmtId="0" fontId="8" fillId="4" borderId="0" xfId="0">
      <alignment vertical="top"/>
    </xf>
    <xf numFmtId="0" fontId="9" fillId="0" borderId="0" xfId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8AB8E9A-7DA8-807C-0CA8-C3806AD346A8}" mc:Ignorable="x14ac xr xr2 xr3">
  <dimension ref="A1:GR10000"/>
  <sheetViews>
    <sheetView showGridLines="0" zoomScale="90" workbookViewId="0" tabSelected="1">
      <pane xSplit="6" ySplit="3" topLeftCell="G4" activePane="bottomRight" state="frozen"/>
      <selection pane="bottomLeft" activeCell="A4" sqref="A4"/>
      <selection pane="topRight" activeCell="G1" sqref="G1"/>
      <selection pane="bottomRight" activeCell="E14" sqref="E14"/>
    </sheetView>
  </sheetViews>
  <sheetFormatPr defaultRowHeight="15.997499999999997" defaultColWidth="9.00390625" customHeight="1"/>
  <cols>
    <col min="1" max="1" width="16.25390625" customWidth="1"/>
    <col min="2" max="2" width="18.75390625" customWidth="1"/>
    <col min="3" max="3" width="10.625" customWidth="1"/>
    <col min="4" max="4" width="9.375" customWidth="1"/>
    <col min="5" max="5" width="28.125" customWidth="1"/>
    <col min="6" max="6" width="8.125" customWidth="1"/>
    <col min="31" max="31" width="2.25390625" customWidth="1"/>
  </cols>
  <sheetData>
    <row r="1" ht="15.997499999999997" customHeight="1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15.997499999999997" customHeight="1">
      <c r="A2" s="3"/>
      <c r="B2" s="3"/>
      <c r="C2" s="3"/>
      <c r="D2" s="3"/>
      <c r="E2" s="3"/>
      <c r="F2" s="3"/>
      <c r="G2" s="3" t="s">
        <v>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3" t="s">
        <v>4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ht="22.5" customHeight="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34</v>
      </c>
      <c r="AE3" s="4"/>
      <c r="AF3" s="3" t="s">
        <v>11</v>
      </c>
      <c r="AG3" s="3" t="s">
        <v>12</v>
      </c>
      <c r="AH3" s="3" t="s">
        <v>13</v>
      </c>
      <c r="AI3" s="3" t="s">
        <v>14</v>
      </c>
      <c r="AJ3" s="3" t="s">
        <v>15</v>
      </c>
      <c r="AK3" s="3" t="s">
        <v>16</v>
      </c>
      <c r="AL3" s="3" t="s">
        <v>17</v>
      </c>
      <c r="AM3" s="3" t="s">
        <v>18</v>
      </c>
      <c r="AN3" s="3" t="s">
        <v>19</v>
      </c>
      <c r="AO3" s="3" t="s">
        <v>20</v>
      </c>
      <c r="AP3" s="3" t="s">
        <v>21</v>
      </c>
      <c r="AQ3" s="3" t="s">
        <v>22</v>
      </c>
      <c r="AR3" s="3" t="s">
        <v>23</v>
      </c>
      <c r="AS3" s="3" t="s">
        <v>24</v>
      </c>
      <c r="AT3" s="3" t="s">
        <v>25</v>
      </c>
      <c r="AU3" s="3" t="s">
        <v>26</v>
      </c>
      <c r="AV3" s="3" t="s">
        <v>27</v>
      </c>
      <c r="AW3" s="3" t="s">
        <v>28</v>
      </c>
      <c r="AX3" s="3" t="s">
        <v>29</v>
      </c>
      <c r="AY3" s="3" t="s">
        <v>30</v>
      </c>
      <c r="AZ3" s="3" t="s">
        <v>31</v>
      </c>
      <c r="BA3" s="3" t="s">
        <v>32</v>
      </c>
      <c r="BB3" s="3" t="s">
        <v>33</v>
      </c>
      <c r="BC3" s="3" t="s">
        <v>34</v>
      </c>
    </row>
    <row r="4" ht="15.997499999999997" customHeight="1">
      <c r="A4" s="5" t="s">
        <v>35</v>
      </c>
      <c r="B4" s="5" t="s">
        <v>36</v>
      </c>
      <c r="C4" s="5" t="s">
        <v>37</v>
      </c>
      <c r="D4" s="5">
        <v>4000</v>
      </c>
      <c r="E4" s="5" t="s">
        <v>38</v>
      </c>
      <c r="F4" s="5" t="s">
        <v>39</v>
      </c>
      <c r="G4" s="6">
        <v>2352</v>
      </c>
      <c r="H4" s="6">
        <v>2429.5</v>
      </c>
      <c r="I4" s="6">
        <v>2534.3</v>
      </c>
      <c r="J4" s="6">
        <v>2565.7</v>
      </c>
      <c r="K4" s="6">
        <v>2675.9</v>
      </c>
      <c r="L4" s="6">
        <v>2762.9</v>
      </c>
      <c r="M4" s="6">
        <v>2715.4</v>
      </c>
      <c r="N4" s="6">
        <v>2720.4</v>
      </c>
      <c r="O4" s="6">
        <v>2896.3</v>
      </c>
      <c r="P4" s="6">
        <v>2990.8</v>
      </c>
      <c r="Q4" s="6">
        <v>3148</v>
      </c>
      <c r="R4" s="6">
        <v>3372.1</v>
      </c>
      <c r="S4" s="6">
        <v>3071.8</v>
      </c>
      <c r="T4" s="6">
        <v>3173</v>
      </c>
      <c r="U4" s="6">
        <v>3309.9</v>
      </c>
      <c r="V4" s="6">
        <v>3350.9</v>
      </c>
      <c r="W4" s="6">
        <v>3494.8</v>
      </c>
      <c r="X4" s="6">
        <v>3608.5</v>
      </c>
      <c r="Y4" s="6">
        <v>3546.4</v>
      </c>
      <c r="Z4" s="6">
        <v>3552.9</v>
      </c>
      <c r="AA4" s="6">
        <v>3782.7</v>
      </c>
      <c r="AB4" s="6">
        <v>3906.1</v>
      </c>
      <c r="AC4" s="6">
        <v>4111.4</v>
      </c>
      <c r="AD4" s="6">
        <v>4404.1</v>
      </c>
      <c r="AE4" s="7"/>
      <c r="AF4" s="6">
        <v>2240</v>
      </c>
      <c r="AG4" s="6">
        <v>2291.9811320754716</v>
      </c>
      <c r="AH4" s="6">
        <v>2725.0537634408606</v>
      </c>
      <c r="AI4" s="6">
        <v>2788.8043478260865</v>
      </c>
      <c r="AJ4" s="6">
        <v>2454.9541284403667</v>
      </c>
      <c r="AK4" s="6">
        <v>2511.7272727272725</v>
      </c>
      <c r="AL4" s="6">
        <v>2858.3157894736846</v>
      </c>
      <c r="AM4" s="6">
        <v>2894.04255319149</v>
      </c>
      <c r="AN4" s="6">
        <v>2706.822429906542</v>
      </c>
      <c r="AO4" s="6">
        <v>2769.259259259259</v>
      </c>
      <c r="AP4" s="6">
        <v>3459.3406593406594</v>
      </c>
      <c r="AQ4" s="6">
        <v>3746.7777777777774</v>
      </c>
      <c r="AR4" s="6">
        <v>2925.5238095238096</v>
      </c>
      <c r="AS4" s="6">
        <v>2993.396226415094</v>
      </c>
      <c r="AT4" s="6">
        <v>3559.0322580645166</v>
      </c>
      <c r="AU4" s="6">
        <v>3642.282608695652</v>
      </c>
      <c r="AV4" s="6">
        <v>3206.2385321100915</v>
      </c>
      <c r="AW4" s="6">
        <v>3280.454545454545</v>
      </c>
      <c r="AX4" s="6">
        <v>3733.0526315789475</v>
      </c>
      <c r="AY4" s="6">
        <v>3779.6808510638302</v>
      </c>
      <c r="AZ4" s="6">
        <v>3535.2336448598126</v>
      </c>
      <c r="BA4" s="6">
        <v>3616.759259259259</v>
      </c>
      <c r="BB4" s="6">
        <v>4518.021978021978</v>
      </c>
      <c r="BC4" s="6">
        <v>4893.444444444444</v>
      </c>
    </row>
    <row r="5" ht="15.997499999999997" customHeight="1">
      <c r="A5" s="5" t="s">
        <v>35</v>
      </c>
      <c r="B5" s="5" t="s">
        <v>36</v>
      </c>
      <c r="C5" s="5" t="s">
        <v>37</v>
      </c>
      <c r="D5" s="5">
        <v>4000</v>
      </c>
      <c r="E5" s="5" t="s">
        <v>40</v>
      </c>
      <c r="F5" s="5" t="s">
        <v>39</v>
      </c>
      <c r="G5" s="6">
        <v>509.6</v>
      </c>
      <c r="H5" s="6">
        <v>526.4</v>
      </c>
      <c r="I5" s="6">
        <v>549.1</v>
      </c>
      <c r="J5" s="6">
        <v>555.9</v>
      </c>
      <c r="K5" s="6">
        <v>579.8</v>
      </c>
      <c r="L5" s="6">
        <v>598.6</v>
      </c>
      <c r="M5" s="6">
        <v>588.3</v>
      </c>
      <c r="N5" s="6">
        <v>589.4</v>
      </c>
      <c r="O5" s="6">
        <v>627.5</v>
      </c>
      <c r="P5" s="6">
        <v>648</v>
      </c>
      <c r="Q5" s="6">
        <v>682.1</v>
      </c>
      <c r="R5" s="6">
        <v>730.6</v>
      </c>
      <c r="S5" s="6">
        <v>665.6</v>
      </c>
      <c r="T5" s="6">
        <v>687.5</v>
      </c>
      <c r="U5" s="6">
        <v>717.2</v>
      </c>
      <c r="V5" s="6">
        <v>726</v>
      </c>
      <c r="W5" s="6">
        <v>757.2</v>
      </c>
      <c r="X5" s="6">
        <v>781.8</v>
      </c>
      <c r="Y5" s="6">
        <v>768.4</v>
      </c>
      <c r="Z5" s="6">
        <v>769.8</v>
      </c>
      <c r="AA5" s="6">
        <v>819.6</v>
      </c>
      <c r="AB5" s="6">
        <v>846.3</v>
      </c>
      <c r="AC5" s="6">
        <v>890.8</v>
      </c>
      <c r="AD5" s="6">
        <v>954.2</v>
      </c>
      <c r="AE5" s="7"/>
      <c r="AF5" s="6">
        <v>480.75471698113205</v>
      </c>
      <c r="AG5" s="6">
        <v>491.9626168224299</v>
      </c>
      <c r="AH5" s="6">
        <v>596.8478260869565</v>
      </c>
      <c r="AI5" s="6">
        <v>610.8791208791208</v>
      </c>
      <c r="AJ5" s="6">
        <v>527.090909090909</v>
      </c>
      <c r="AK5" s="6">
        <v>570.0952380952381</v>
      </c>
      <c r="AL5" s="6">
        <v>625.8510638297872</v>
      </c>
      <c r="AM5" s="6">
        <v>633.763440860215</v>
      </c>
      <c r="AN5" s="6">
        <v>581.0185185185185</v>
      </c>
      <c r="AO5" s="6">
        <v>594.4954128440367</v>
      </c>
      <c r="AP5" s="6">
        <v>757.8888888888889</v>
      </c>
      <c r="AQ5" s="6">
        <v>769.0526315789474</v>
      </c>
      <c r="AR5" s="6">
        <v>627.9245283018868</v>
      </c>
      <c r="AS5" s="6">
        <v>642.5233644859812</v>
      </c>
      <c r="AT5" s="6">
        <v>779.5652173913044</v>
      </c>
      <c r="AU5" s="6">
        <v>797.8021978021977</v>
      </c>
      <c r="AV5" s="6">
        <v>688.3636363636364</v>
      </c>
      <c r="AW5" s="6">
        <v>744.5714285714284</v>
      </c>
      <c r="AX5" s="6">
        <v>817.4468085106383</v>
      </c>
      <c r="AY5" s="6">
        <v>827.741935483871</v>
      </c>
      <c r="AZ5" s="6">
        <v>758.8888888888889</v>
      </c>
      <c r="BA5" s="6">
        <v>776.4220183486237</v>
      </c>
      <c r="BB5" s="6">
        <v>989.7777777777777</v>
      </c>
      <c r="BC5" s="6">
        <v>1004.4210526315791</v>
      </c>
    </row>
    <row r="6" ht="15.997499999999997" customHeight="1">
      <c r="A6" s="5" t="s">
        <v>35</v>
      </c>
      <c r="B6" s="5" t="s">
        <v>36</v>
      </c>
      <c r="C6" s="5" t="s">
        <v>37</v>
      </c>
      <c r="D6" s="5">
        <v>4100</v>
      </c>
      <c r="E6" s="5" t="s">
        <v>41</v>
      </c>
      <c r="F6" s="5" t="s">
        <v>39</v>
      </c>
      <c r="G6" s="6">
        <v>254.8</v>
      </c>
      <c r="H6" s="6">
        <v>261.3</v>
      </c>
      <c r="I6" s="6">
        <v>270.5</v>
      </c>
      <c r="J6" s="6">
        <v>271.9</v>
      </c>
      <c r="K6" s="6">
        <v>281.5</v>
      </c>
      <c r="L6" s="6">
        <v>288.5</v>
      </c>
      <c r="M6" s="6">
        <v>281.5</v>
      </c>
      <c r="N6" s="6">
        <v>279.9</v>
      </c>
      <c r="O6" s="6">
        <v>295.8</v>
      </c>
      <c r="P6" s="6">
        <v>303.2</v>
      </c>
      <c r="Q6" s="6">
        <v>316.8</v>
      </c>
      <c r="R6" s="6">
        <v>336.9</v>
      </c>
      <c r="S6" s="6">
        <v>304.6</v>
      </c>
      <c r="T6" s="6">
        <v>312.4</v>
      </c>
      <c r="U6" s="6">
        <v>323.5</v>
      </c>
      <c r="V6" s="6">
        <v>325.1</v>
      </c>
      <c r="W6" s="6">
        <v>336.5</v>
      </c>
      <c r="X6" s="6">
        <v>344.9</v>
      </c>
      <c r="Y6" s="6">
        <v>336.5</v>
      </c>
      <c r="Z6" s="6">
        <v>334.7</v>
      </c>
      <c r="AA6" s="6">
        <v>353.7</v>
      </c>
      <c r="AB6" s="6">
        <v>362.5</v>
      </c>
      <c r="AC6" s="6">
        <v>378.8</v>
      </c>
      <c r="AD6" s="6">
        <v>402.8</v>
      </c>
      <c r="AE6" s="7"/>
      <c r="AF6" s="6">
        <v>238.13084112149534</v>
      </c>
      <c r="AG6" s="6">
        <v>241.94444444444443</v>
      </c>
      <c r="AH6" s="6">
        <v>297.25274725274727</v>
      </c>
      <c r="AI6" s="6">
        <v>302.1111111111111</v>
      </c>
      <c r="AJ6" s="6">
        <v>268.0952380952381</v>
      </c>
      <c r="AK6" s="6">
        <v>272.1698113207547</v>
      </c>
      <c r="AL6" s="6">
        <v>302.68817204301075</v>
      </c>
      <c r="AM6" s="6">
        <v>304.23913043478257</v>
      </c>
      <c r="AN6" s="6">
        <v>271.3761467889908</v>
      </c>
      <c r="AO6" s="6">
        <v>275.6363636363636</v>
      </c>
      <c r="AP6" s="6">
        <v>333.47368421052636</v>
      </c>
      <c r="AQ6" s="6">
        <v>358.40425531914894</v>
      </c>
      <c r="AR6" s="6">
        <v>284.6728971962617</v>
      </c>
      <c r="AS6" s="6">
        <v>289.25925925925924</v>
      </c>
      <c r="AT6" s="6">
        <v>355.49450549450546</v>
      </c>
      <c r="AU6" s="6">
        <v>361.22222222222223</v>
      </c>
      <c r="AV6" s="6">
        <v>320.4761904761905</v>
      </c>
      <c r="AW6" s="6">
        <v>325.377358490566</v>
      </c>
      <c r="AX6" s="6">
        <v>361.82795698924735</v>
      </c>
      <c r="AY6" s="6">
        <v>363.80434782608694</v>
      </c>
      <c r="AZ6" s="6">
        <v>324.49541284403665</v>
      </c>
      <c r="BA6" s="6">
        <v>329.5454545454545</v>
      </c>
      <c r="BB6" s="6">
        <v>398.7368421052632</v>
      </c>
      <c r="BC6" s="6">
        <v>428.5106382978724</v>
      </c>
    </row>
    <row r="7" ht="15.997499999999997" customHeight="1">
      <c r="A7" s="8" t="s">
        <v>35</v>
      </c>
      <c r="B7" s="8" t="s">
        <v>36</v>
      </c>
      <c r="C7" s="8" t="s">
        <v>42</v>
      </c>
      <c r="D7" s="8" t="s">
        <v>43</v>
      </c>
      <c r="E7" s="8" t="s">
        <v>44</v>
      </c>
      <c r="F7" s="8" t="s">
        <v>39</v>
      </c>
      <c r="G7" s="9">
        <f t="shared" si="0" ref="G7:BC72">SUM(G4:G6)</f>
        <v>3116.4</v>
      </c>
      <c r="H7" s="9">
        <f t="shared" si="0"/>
        <v>3217.2</v>
      </c>
      <c r="I7" s="9">
        <f t="shared" si="0"/>
        <v>3353.9</v>
      </c>
      <c r="J7" s="9">
        <f t="shared" si="0"/>
        <v>3393.5</v>
      </c>
      <c r="K7" s="9">
        <f t="shared" si="0"/>
        <v>3537.2</v>
      </c>
      <c r="L7" s="9">
        <f t="shared" si="0"/>
        <v>3650</v>
      </c>
      <c r="M7" s="9">
        <f t="shared" si="0"/>
        <v>3585.2</v>
      </c>
      <c r="N7" s="9">
        <f t="shared" si="0"/>
        <v>3589.7</v>
      </c>
      <c r="O7" s="9">
        <f t="shared" si="0"/>
        <v>3819.6</v>
      </c>
      <c r="P7" s="9">
        <f t="shared" si="0"/>
        <v>3942</v>
      </c>
      <c r="Q7" s="9">
        <f t="shared" si="0"/>
        <v>4146.9</v>
      </c>
      <c r="R7" s="9">
        <f t="shared" si="0"/>
        <v>4439.6</v>
      </c>
      <c r="S7" s="9">
        <f t="shared" si="0"/>
        <v>4042</v>
      </c>
      <c r="T7" s="9">
        <f t="shared" si="0"/>
        <v>4172.9</v>
      </c>
      <c r="U7" s="9">
        <f t="shared" si="0"/>
        <v>4350.6</v>
      </c>
      <c r="V7" s="9">
        <f t="shared" si="0"/>
        <v>4402</v>
      </c>
      <c r="W7" s="9">
        <f t="shared" si="0"/>
        <v>4588.5</v>
      </c>
      <c r="X7" s="9">
        <f t="shared" si="0"/>
        <v>4735.2</v>
      </c>
      <c r="Y7" s="9">
        <f t="shared" si="0"/>
        <v>4651.3</v>
      </c>
      <c r="Z7" s="9">
        <f t="shared" si="0"/>
        <v>4657.4</v>
      </c>
      <c r="AA7" s="9">
        <f t="shared" si="0"/>
        <v>4956</v>
      </c>
      <c r="AB7" s="9">
        <f t="shared" si="0"/>
        <v>5114.9</v>
      </c>
      <c r="AC7" s="9">
        <f t="shared" si="0"/>
        <v>5381</v>
      </c>
      <c r="AD7" s="9">
        <f t="shared" si="0"/>
        <v>5761.1</v>
      </c>
      <c r="AE7" s="10"/>
      <c r="AF7" s="9">
        <f t="shared" si="0"/>
        <v>2958.88555810263</v>
      </c>
      <c r="AG7" s="9">
        <f t="shared" si="0"/>
        <v>3025.88819334235</v>
      </c>
      <c r="AH7" s="9">
        <f t="shared" si="0"/>
        <v>3619.15433678056</v>
      </c>
      <c r="AI7" s="9">
        <f t="shared" si="0"/>
        <v>3701.79457981632</v>
      </c>
      <c r="AJ7" s="9">
        <f t="shared" si="0"/>
        <v>3250.14027562651</v>
      </c>
      <c r="AK7" s="9">
        <f t="shared" si="0"/>
        <v>3353.99232214327</v>
      </c>
      <c r="AL7" s="9">
        <f t="shared" si="0"/>
        <v>3786.85502534648</v>
      </c>
      <c r="AM7" s="9">
        <f t="shared" si="0"/>
        <v>3832.04512448649</v>
      </c>
      <c r="AN7" s="9">
        <f t="shared" si="0"/>
        <v>3559.21709521405</v>
      </c>
      <c r="AO7" s="9">
        <f t="shared" si="0"/>
        <v>3639.39103573966</v>
      </c>
      <c r="AP7" s="9">
        <f t="shared" si="0"/>
        <v>4550.70323244008</v>
      </c>
      <c r="AQ7" s="9">
        <f t="shared" si="0"/>
        <v>4874.23466467587</v>
      </c>
      <c r="AR7" s="9">
        <f t="shared" si="0"/>
        <v>3838.12123502196</v>
      </c>
      <c r="AS7" s="9">
        <f t="shared" si="0"/>
        <v>3925.17885016033</v>
      </c>
      <c r="AT7" s="9">
        <f t="shared" si="0"/>
        <v>4694.09198095033</v>
      </c>
      <c r="AU7" s="9">
        <f t="shared" si="0"/>
        <v>4801.30702872007</v>
      </c>
      <c r="AV7" s="9">
        <f t="shared" si="0"/>
        <v>4215.07835894992</v>
      </c>
      <c r="AW7" s="9">
        <f t="shared" si="0"/>
        <v>4350.40333251654</v>
      </c>
      <c r="AX7" s="9">
        <f t="shared" si="0"/>
        <v>4912.32739707883</v>
      </c>
      <c r="AY7" s="9">
        <f t="shared" si="0"/>
        <v>4971.22713437379</v>
      </c>
      <c r="AZ7" s="9">
        <f t="shared" si="0"/>
        <v>4618.61794659274</v>
      </c>
      <c r="BA7" s="9">
        <f t="shared" si="0"/>
        <v>4722.72673215334</v>
      </c>
      <c r="BB7" s="9">
        <f t="shared" si="0"/>
        <v>5906.53659790502</v>
      </c>
      <c r="BC7" s="9">
        <f t="shared" si="0"/>
        <v>6326.3761353739</v>
      </c>
    </row>
    <row r="8" ht="15.997499999999997" customHeight="1">
      <c r="A8" s="5" t="s">
        <v>45</v>
      </c>
      <c r="B8" s="5" t="s">
        <v>45</v>
      </c>
      <c r="C8" s="5" t="s">
        <v>45</v>
      </c>
      <c r="D8" s="5" t="s">
        <v>45</v>
      </c>
      <c r="E8" s="5" t="s">
        <v>45</v>
      </c>
      <c r="F8" s="5" t="s">
        <v>45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7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ht="15.997499999999997" customHeight="1">
      <c r="A9" s="5" t="s">
        <v>35</v>
      </c>
      <c r="B9" s="5" t="s">
        <v>46</v>
      </c>
      <c r="C9" s="5" t="s">
        <v>47</v>
      </c>
      <c r="D9" s="5">
        <v>4010</v>
      </c>
      <c r="E9" s="5" t="s">
        <v>48</v>
      </c>
      <c r="F9" s="5" t="s">
        <v>39</v>
      </c>
      <c r="G9" s="6">
        <v>1097.6</v>
      </c>
      <c r="H9" s="6">
        <v>1133.7</v>
      </c>
      <c r="I9" s="6">
        <v>1182.7</v>
      </c>
      <c r="J9" s="6">
        <v>1197.3</v>
      </c>
      <c r="K9" s="6">
        <v>1248.7</v>
      </c>
      <c r="L9" s="6">
        <v>1289.4</v>
      </c>
      <c r="M9" s="6">
        <v>1267.2</v>
      </c>
      <c r="N9" s="6">
        <v>1269.5</v>
      </c>
      <c r="O9" s="6">
        <v>1351.6</v>
      </c>
      <c r="P9" s="6">
        <v>1395.7</v>
      </c>
      <c r="Q9" s="6">
        <v>1469.1</v>
      </c>
      <c r="R9" s="6">
        <v>1573.6</v>
      </c>
      <c r="S9" s="6">
        <v>1433.5</v>
      </c>
      <c r="T9" s="6">
        <v>1480.7</v>
      </c>
      <c r="U9" s="6">
        <v>1544.6</v>
      </c>
      <c r="V9" s="6">
        <v>1563.8</v>
      </c>
      <c r="W9" s="6">
        <v>1630.9</v>
      </c>
      <c r="X9" s="6">
        <v>1684</v>
      </c>
      <c r="Y9" s="6">
        <v>1655</v>
      </c>
      <c r="Z9" s="6">
        <v>1658</v>
      </c>
      <c r="AA9" s="6">
        <v>1765.2</v>
      </c>
      <c r="AB9" s="6">
        <v>1822.8</v>
      </c>
      <c r="AC9" s="6">
        <v>1918.7</v>
      </c>
      <c r="AD9" s="6">
        <v>2055.3</v>
      </c>
      <c r="AE9" s="7"/>
      <c r="AF9" s="6">
        <v>997.8181818181816</v>
      </c>
      <c r="AG9" s="6">
        <v>1079.7142857142858</v>
      </c>
      <c r="AH9" s="6">
        <v>1258.1914893617022</v>
      </c>
      <c r="AI9" s="6">
        <v>1287.4193548387098</v>
      </c>
      <c r="AJ9" s="6">
        <v>1156.2037037037037</v>
      </c>
      <c r="AK9" s="6">
        <v>1182.9357798165138</v>
      </c>
      <c r="AL9" s="6">
        <v>1408</v>
      </c>
      <c r="AM9" s="6">
        <v>1336.3157894736842</v>
      </c>
      <c r="AN9" s="6">
        <v>1275.0943396226414</v>
      </c>
      <c r="AO9" s="6">
        <v>1304.392523364486</v>
      </c>
      <c r="AP9" s="6">
        <v>1596.8478260869563</v>
      </c>
      <c r="AQ9" s="6">
        <v>1729.230769230769</v>
      </c>
      <c r="AR9" s="6">
        <v>1303.181818181818</v>
      </c>
      <c r="AS9" s="6">
        <v>1410.1904761904761</v>
      </c>
      <c r="AT9" s="6">
        <v>1643.1914893617022</v>
      </c>
      <c r="AU9" s="6">
        <v>1681.505376344086</v>
      </c>
      <c r="AV9" s="6">
        <v>1510.0925925925926</v>
      </c>
      <c r="AW9" s="6">
        <v>1544.954128440367</v>
      </c>
      <c r="AX9" s="6">
        <v>1838.888888888889</v>
      </c>
      <c r="AY9" s="6">
        <v>1745.2631578947369</v>
      </c>
      <c r="AZ9" s="6">
        <v>1665.2830188679245</v>
      </c>
      <c r="BA9" s="6">
        <v>1703.5514018691588</v>
      </c>
      <c r="BB9" s="6">
        <v>2085.5434782608695</v>
      </c>
      <c r="BC9" s="6">
        <v>2258.571428571429</v>
      </c>
    </row>
    <row r="10" ht="15.997499999999997" customHeight="1">
      <c r="A10" s="5" t="s">
        <v>35</v>
      </c>
      <c r="B10" s="5" t="s">
        <v>46</v>
      </c>
      <c r="C10" s="5" t="s">
        <v>47</v>
      </c>
      <c r="D10" s="5">
        <v>4010</v>
      </c>
      <c r="E10" s="5" t="s">
        <v>49</v>
      </c>
      <c r="F10" s="5" t="s">
        <v>39</v>
      </c>
      <c r="G10" s="6">
        <v>274.4</v>
      </c>
      <c r="H10" s="6">
        <v>283.4</v>
      </c>
      <c r="I10" s="6">
        <v>295.7</v>
      </c>
      <c r="J10" s="6">
        <v>299.3</v>
      </c>
      <c r="K10" s="6">
        <v>312.2</v>
      </c>
      <c r="L10" s="6">
        <v>322.3</v>
      </c>
      <c r="M10" s="6">
        <v>316.8</v>
      </c>
      <c r="N10" s="6">
        <v>317.4</v>
      </c>
      <c r="O10" s="6">
        <v>337.9</v>
      </c>
      <c r="P10" s="6">
        <v>348.9</v>
      </c>
      <c r="Q10" s="6">
        <v>367.3</v>
      </c>
      <c r="R10" s="6">
        <v>393.4</v>
      </c>
      <c r="S10" s="6">
        <v>358.4</v>
      </c>
      <c r="T10" s="6">
        <v>370.2</v>
      </c>
      <c r="U10" s="6">
        <v>386.2</v>
      </c>
      <c r="V10" s="6">
        <v>390.9</v>
      </c>
      <c r="W10" s="6">
        <v>407.7</v>
      </c>
      <c r="X10" s="6">
        <v>421</v>
      </c>
      <c r="Y10" s="6">
        <v>413.7</v>
      </c>
      <c r="Z10" s="6">
        <v>414.5</v>
      </c>
      <c r="AA10" s="6">
        <v>441.3</v>
      </c>
      <c r="AB10" s="6">
        <v>455.7</v>
      </c>
      <c r="AC10" s="6">
        <v>479.7</v>
      </c>
      <c r="AD10" s="6">
        <v>513.8</v>
      </c>
      <c r="AE10" s="7"/>
      <c r="AF10" s="6">
        <v>261.3333333333333</v>
      </c>
      <c r="AG10" s="6">
        <v>267.3584905660377</v>
      </c>
      <c r="AH10" s="6">
        <v>317.9569892473118</v>
      </c>
      <c r="AI10" s="6">
        <v>325.32608695652175</v>
      </c>
      <c r="AJ10" s="6">
        <v>286.4220183486238</v>
      </c>
      <c r="AK10" s="6">
        <v>293</v>
      </c>
      <c r="AL10" s="6">
        <v>333.47368421052636</v>
      </c>
      <c r="AM10" s="6">
        <v>337.6595744680851</v>
      </c>
      <c r="AN10" s="6">
        <v>315.7943925233644</v>
      </c>
      <c r="AO10" s="6">
        <v>323.0555555555555</v>
      </c>
      <c r="AP10" s="6">
        <v>403.6263736263736</v>
      </c>
      <c r="AQ10" s="6">
        <v>437.1111111111111</v>
      </c>
      <c r="AR10" s="6">
        <v>341.3333333333333</v>
      </c>
      <c r="AS10" s="6">
        <v>349.2452830188679</v>
      </c>
      <c r="AT10" s="6">
        <v>415.2688172043011</v>
      </c>
      <c r="AU10" s="6">
        <v>424.89130434782606</v>
      </c>
      <c r="AV10" s="6">
        <v>374.0366972477064</v>
      </c>
      <c r="AW10" s="6">
        <v>382.7272727272727</v>
      </c>
      <c r="AX10" s="6">
        <v>435.4736842105263</v>
      </c>
      <c r="AY10" s="6">
        <v>440.95744680851067</v>
      </c>
      <c r="AZ10" s="6">
        <v>412.4299065420561</v>
      </c>
      <c r="BA10" s="6">
        <v>421.9444444444444</v>
      </c>
      <c r="BB10" s="6">
        <v>527.1428571428571</v>
      </c>
      <c r="BC10" s="6">
        <v>570.8888888888888</v>
      </c>
    </row>
    <row r="11" ht="15.997499999999997" customHeight="1">
      <c r="A11" s="5" t="s">
        <v>35</v>
      </c>
      <c r="B11" s="5" t="s">
        <v>46</v>
      </c>
      <c r="C11" s="5" t="s">
        <v>47</v>
      </c>
      <c r="D11" s="5">
        <v>4100</v>
      </c>
      <c r="E11" s="5" t="s">
        <v>50</v>
      </c>
      <c r="F11" s="5" t="s">
        <v>39</v>
      </c>
      <c r="G11" s="6">
        <v>93.1</v>
      </c>
      <c r="H11" s="6">
        <v>95.5</v>
      </c>
      <c r="I11" s="6">
        <v>98.9</v>
      </c>
      <c r="J11" s="6">
        <v>99.3</v>
      </c>
      <c r="K11" s="6">
        <v>102.8</v>
      </c>
      <c r="L11" s="6">
        <v>105.4</v>
      </c>
      <c r="M11" s="6">
        <v>102.8</v>
      </c>
      <c r="N11" s="6">
        <v>102.3</v>
      </c>
      <c r="O11" s="6">
        <v>108.1</v>
      </c>
      <c r="P11" s="6">
        <v>110.8</v>
      </c>
      <c r="Q11" s="6">
        <v>115.8</v>
      </c>
      <c r="R11" s="6">
        <v>123.1</v>
      </c>
      <c r="S11" s="6">
        <v>111.3</v>
      </c>
      <c r="T11" s="6">
        <v>114.1</v>
      </c>
      <c r="U11" s="6">
        <v>118.2</v>
      </c>
      <c r="V11" s="6">
        <v>118.8</v>
      </c>
      <c r="W11" s="6">
        <v>123</v>
      </c>
      <c r="X11" s="6">
        <v>126</v>
      </c>
      <c r="Y11" s="6">
        <v>123</v>
      </c>
      <c r="Z11" s="6">
        <v>122.3</v>
      </c>
      <c r="AA11" s="6">
        <v>129.2</v>
      </c>
      <c r="AB11" s="6">
        <v>132.5</v>
      </c>
      <c r="AC11" s="6">
        <v>138.4</v>
      </c>
      <c r="AD11" s="6">
        <v>147.2</v>
      </c>
      <c r="AE11" s="7"/>
      <c r="AF11" s="6">
        <v>87.83018867924527</v>
      </c>
      <c r="AG11" s="6">
        <v>89.25233644859813</v>
      </c>
      <c r="AH11" s="6">
        <v>107.5</v>
      </c>
      <c r="AI11" s="6">
        <v>109.12087912087911</v>
      </c>
      <c r="AJ11" s="6">
        <v>93.45454545454544</v>
      </c>
      <c r="AK11" s="6">
        <v>100.38095238095238</v>
      </c>
      <c r="AL11" s="6">
        <v>109.36170212765958</v>
      </c>
      <c r="AM11" s="6">
        <v>110</v>
      </c>
      <c r="AN11" s="6">
        <v>100.09259259259258</v>
      </c>
      <c r="AO11" s="6">
        <v>101.65137614678898</v>
      </c>
      <c r="AP11" s="6">
        <v>128.66666666666666</v>
      </c>
      <c r="AQ11" s="6">
        <v>129.57894736842104</v>
      </c>
      <c r="AR11" s="6">
        <v>104.99999999999999</v>
      </c>
      <c r="AS11" s="6">
        <v>106.63551401869158</v>
      </c>
      <c r="AT11" s="6">
        <v>128.47826086956522</v>
      </c>
      <c r="AU11" s="6">
        <v>130.54945054945054</v>
      </c>
      <c r="AV11" s="6">
        <v>111.81818181818181</v>
      </c>
      <c r="AW11" s="6">
        <v>120</v>
      </c>
      <c r="AX11" s="6">
        <v>130.85106382978725</v>
      </c>
      <c r="AY11" s="6">
        <v>131.50537634408602</v>
      </c>
      <c r="AZ11" s="6">
        <v>119.6296296296296</v>
      </c>
      <c r="BA11" s="6">
        <v>121.55963302752292</v>
      </c>
      <c r="BB11" s="6">
        <v>153.77777777777777</v>
      </c>
      <c r="BC11" s="6">
        <v>154.94736842105263</v>
      </c>
    </row>
    <row r="12" ht="15.997499999999997" customHeight="1">
      <c r="A12" s="8" t="s">
        <v>35</v>
      </c>
      <c r="B12" s="8" t="s">
        <v>46</v>
      </c>
      <c r="C12" s="8" t="s">
        <v>42</v>
      </c>
      <c r="D12" s="8" t="s">
        <v>43</v>
      </c>
      <c r="E12" s="8" t="s">
        <v>51</v>
      </c>
      <c r="F12" s="8" t="s">
        <v>39</v>
      </c>
      <c r="G12" s="9">
        <f t="shared" si="0"/>
        <v>1465.1</v>
      </c>
      <c r="H12" s="9">
        <f t="shared" si="0"/>
        <v>1512.6</v>
      </c>
      <c r="I12" s="9">
        <f t="shared" si="0"/>
        <v>1577.3</v>
      </c>
      <c r="J12" s="9">
        <f t="shared" si="0"/>
        <v>1595.9</v>
      </c>
      <c r="K12" s="9">
        <f t="shared" si="0"/>
        <v>1663.7</v>
      </c>
      <c r="L12" s="9">
        <f t="shared" si="0"/>
        <v>1717.1</v>
      </c>
      <c r="M12" s="9">
        <f t="shared" si="0"/>
        <v>1686.8</v>
      </c>
      <c r="N12" s="9">
        <f t="shared" si="0"/>
        <v>1689.2</v>
      </c>
      <c r="O12" s="9">
        <f t="shared" si="0"/>
        <v>1797.6</v>
      </c>
      <c r="P12" s="9">
        <f t="shared" si="0"/>
        <v>1855.4</v>
      </c>
      <c r="Q12" s="9">
        <f t="shared" si="0"/>
        <v>1952.2</v>
      </c>
      <c r="R12" s="9">
        <f t="shared" si="0"/>
        <v>2090.1</v>
      </c>
      <c r="S12" s="9">
        <f t="shared" si="0"/>
        <v>1903.2</v>
      </c>
      <c r="T12" s="9">
        <f t="shared" si="0"/>
        <v>1965</v>
      </c>
      <c r="U12" s="9">
        <f t="shared" si="0"/>
        <v>2049</v>
      </c>
      <c r="V12" s="9">
        <f t="shared" si="0"/>
        <v>2073.5</v>
      </c>
      <c r="W12" s="9">
        <f t="shared" si="0"/>
        <v>2161.6</v>
      </c>
      <c r="X12" s="9">
        <f t="shared" si="0"/>
        <v>2231</v>
      </c>
      <c r="Y12" s="9">
        <f t="shared" si="0"/>
        <v>2191.7</v>
      </c>
      <c r="Z12" s="9">
        <f t="shared" si="0"/>
        <v>2194.8</v>
      </c>
      <c r="AA12" s="9">
        <f t="shared" si="0"/>
        <v>2335.7</v>
      </c>
      <c r="AB12" s="9">
        <f t="shared" si="0"/>
        <v>2411</v>
      </c>
      <c r="AC12" s="9">
        <f t="shared" si="0"/>
        <v>2536.8</v>
      </c>
      <c r="AD12" s="9">
        <f t="shared" si="0"/>
        <v>2716.3</v>
      </c>
      <c r="AE12" s="10"/>
      <c r="AF12" s="9">
        <f t="shared" si="0"/>
        <v>1346.98170383076</v>
      </c>
      <c r="AG12" s="9">
        <f t="shared" si="0"/>
        <v>1436.32511272892</v>
      </c>
      <c r="AH12" s="9">
        <f t="shared" si="0"/>
        <v>1683.64847860901</v>
      </c>
      <c r="AI12" s="9">
        <f t="shared" si="0"/>
        <v>1721.86632091611</v>
      </c>
      <c r="AJ12" s="9">
        <f t="shared" si="0"/>
        <v>1536.08026750687</v>
      </c>
      <c r="AK12" s="9">
        <f t="shared" si="0"/>
        <v>1576.31673219747</v>
      </c>
      <c r="AL12" s="9">
        <f t="shared" si="0"/>
        <v>1850.83538633819</v>
      </c>
      <c r="AM12" s="9">
        <f t="shared" si="0"/>
        <v>1783.97536394177</v>
      </c>
      <c r="AN12" s="9">
        <f t="shared" si="0"/>
        <v>1690.9813247386</v>
      </c>
      <c r="AO12" s="9">
        <f t="shared" si="0"/>
        <v>1729.09945506683</v>
      </c>
      <c r="AP12" s="9">
        <f t="shared" si="0"/>
        <v>2129.14086638</v>
      </c>
      <c r="AQ12" s="9">
        <f t="shared" si="0"/>
        <v>2295.9208277103</v>
      </c>
      <c r="AR12" s="9">
        <f t="shared" si="0"/>
        <v>1749.51515151515</v>
      </c>
      <c r="AS12" s="9">
        <f t="shared" si="0"/>
        <v>1866.07127322804</v>
      </c>
      <c r="AT12" s="9">
        <f t="shared" si="0"/>
        <v>2186.93856743557</v>
      </c>
      <c r="AU12" s="9">
        <f t="shared" si="0"/>
        <v>2236.94613124136</v>
      </c>
      <c r="AV12" s="9">
        <f t="shared" si="0"/>
        <v>1995.94747165848</v>
      </c>
      <c r="AW12" s="9">
        <f t="shared" si="0"/>
        <v>2047.68140116764</v>
      </c>
      <c r="AX12" s="9">
        <f t="shared" si="0"/>
        <v>2405.2136369292</v>
      </c>
      <c r="AY12" s="9">
        <f t="shared" si="0"/>
        <v>2317.72598104733</v>
      </c>
      <c r="AZ12" s="9">
        <f t="shared" si="0"/>
        <v>2197.34255503961</v>
      </c>
      <c r="BA12" s="9">
        <f t="shared" si="0"/>
        <v>2247.05547934113</v>
      </c>
      <c r="BB12" s="9">
        <f t="shared" si="0"/>
        <v>2766.4641131815</v>
      </c>
      <c r="BC12" s="9">
        <f t="shared" si="0"/>
        <v>2984.40768588137</v>
      </c>
    </row>
    <row r="13" ht="15.997499999999997" customHeight="1">
      <c r="A13" s="5" t="s">
        <v>45</v>
      </c>
      <c r="B13" s="5" t="s">
        <v>45</v>
      </c>
      <c r="C13" s="5" t="s">
        <v>45</v>
      </c>
      <c r="D13" s="5" t="s">
        <v>45</v>
      </c>
      <c r="E13" s="5" t="s">
        <v>45</v>
      </c>
      <c r="F13" s="5" t="s">
        <v>45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7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ht="15.997499999999997" customHeight="1">
      <c r="A14" s="5" t="s">
        <v>35</v>
      </c>
      <c r="B14" s="5" t="s">
        <v>52</v>
      </c>
      <c r="C14" s="5" t="s">
        <v>53</v>
      </c>
      <c r="D14" s="5">
        <v>4020</v>
      </c>
      <c r="E14" s="5" t="s">
        <v>54</v>
      </c>
      <c r="F14" s="5" t="s">
        <v>39</v>
      </c>
      <c r="G14" s="6">
        <v>421.4</v>
      </c>
      <c r="H14" s="6">
        <v>435.3</v>
      </c>
      <c r="I14" s="6">
        <v>454.1</v>
      </c>
      <c r="J14" s="6">
        <v>459.7</v>
      </c>
      <c r="K14" s="6">
        <v>479.4</v>
      </c>
      <c r="L14" s="6">
        <v>495</v>
      </c>
      <c r="M14" s="6">
        <v>486.5</v>
      </c>
      <c r="N14" s="6">
        <v>487.4</v>
      </c>
      <c r="O14" s="6">
        <v>518.9</v>
      </c>
      <c r="P14" s="6">
        <v>535.8</v>
      </c>
      <c r="Q14" s="6">
        <v>564</v>
      </c>
      <c r="R14" s="6">
        <v>604.2</v>
      </c>
      <c r="S14" s="6">
        <v>550.4</v>
      </c>
      <c r="T14" s="6">
        <v>568.5</v>
      </c>
      <c r="U14" s="6">
        <v>593</v>
      </c>
      <c r="V14" s="6">
        <v>600.4</v>
      </c>
      <c r="W14" s="6">
        <v>626.2</v>
      </c>
      <c r="X14" s="6">
        <v>646.5</v>
      </c>
      <c r="Y14" s="6">
        <v>635.4</v>
      </c>
      <c r="Z14" s="6">
        <v>636.6</v>
      </c>
      <c r="AA14" s="6">
        <v>677.7</v>
      </c>
      <c r="AB14" s="6">
        <v>699.8</v>
      </c>
      <c r="AC14" s="6">
        <v>736.6</v>
      </c>
      <c r="AD14" s="6">
        <v>789.1</v>
      </c>
      <c r="AE14" s="7"/>
      <c r="AF14" s="6">
        <v>386.6055045871559</v>
      </c>
      <c r="AG14" s="6">
        <v>395.7272727272727</v>
      </c>
      <c r="AH14" s="6">
        <v>478.00000000000006</v>
      </c>
      <c r="AI14" s="6">
        <v>489.0425531914894</v>
      </c>
      <c r="AJ14" s="6">
        <v>448.03738317757006</v>
      </c>
      <c r="AK14" s="6">
        <v>458.3333333333333</v>
      </c>
      <c r="AL14" s="6">
        <v>534.6153846153846</v>
      </c>
      <c r="AM14" s="6">
        <v>541.5555555555555</v>
      </c>
      <c r="AN14" s="6">
        <v>494.19047619047615</v>
      </c>
      <c r="AO14" s="6">
        <v>505.4716981132075</v>
      </c>
      <c r="AP14" s="6">
        <v>606.4516129032259</v>
      </c>
      <c r="AQ14" s="6">
        <v>656.7391304347826</v>
      </c>
      <c r="AR14" s="6">
        <v>504.9541284403669</v>
      </c>
      <c r="AS14" s="6">
        <v>516.8181818181818</v>
      </c>
      <c r="AT14" s="6">
        <v>624.2105263157895</v>
      </c>
      <c r="AU14" s="6">
        <v>638.7234042553191</v>
      </c>
      <c r="AV14" s="6">
        <v>585.2336448598131</v>
      </c>
      <c r="AW14" s="6">
        <v>598.6111111111111</v>
      </c>
      <c r="AX14" s="6">
        <v>698.2417582417582</v>
      </c>
      <c r="AY14" s="6">
        <v>707.3333333333334</v>
      </c>
      <c r="AZ14" s="6">
        <v>645.4285714285714</v>
      </c>
      <c r="BA14" s="6">
        <v>660.188679245283</v>
      </c>
      <c r="BB14" s="6">
        <v>792.0430107526882</v>
      </c>
      <c r="BC14" s="6">
        <v>857.7173913043478</v>
      </c>
    </row>
    <row r="15" ht="15.997499999999997" customHeight="1">
      <c r="A15" s="5" t="s">
        <v>35</v>
      </c>
      <c r="B15" s="5" t="s">
        <v>52</v>
      </c>
      <c r="C15" s="5" t="s">
        <v>53</v>
      </c>
      <c r="D15" s="5">
        <v>4100</v>
      </c>
      <c r="E15" s="5" t="s">
        <v>55</v>
      </c>
      <c r="F15" s="5" t="s">
        <v>39</v>
      </c>
      <c r="G15" s="6">
        <v>44.1</v>
      </c>
      <c r="H15" s="6">
        <v>45.2</v>
      </c>
      <c r="I15" s="6">
        <v>46.8</v>
      </c>
      <c r="J15" s="6">
        <v>47.1</v>
      </c>
      <c r="K15" s="6">
        <v>48.7</v>
      </c>
      <c r="L15" s="6">
        <v>49.9</v>
      </c>
      <c r="M15" s="6">
        <v>48.7</v>
      </c>
      <c r="N15" s="6">
        <v>48.4</v>
      </c>
      <c r="O15" s="6">
        <v>51.2</v>
      </c>
      <c r="P15" s="6">
        <v>52.5</v>
      </c>
      <c r="Q15" s="6">
        <v>54.8</v>
      </c>
      <c r="R15" s="6">
        <v>58.3</v>
      </c>
      <c r="S15" s="6">
        <v>52.7</v>
      </c>
      <c r="T15" s="6">
        <v>54.1</v>
      </c>
      <c r="U15" s="6">
        <v>56</v>
      </c>
      <c r="V15" s="6">
        <v>56.3</v>
      </c>
      <c r="W15" s="6">
        <v>58.2</v>
      </c>
      <c r="X15" s="6">
        <v>59.7</v>
      </c>
      <c r="Y15" s="6">
        <v>58.2</v>
      </c>
      <c r="Z15" s="6">
        <v>57.9</v>
      </c>
      <c r="AA15" s="6">
        <v>61.2</v>
      </c>
      <c r="AB15" s="6">
        <v>62.7</v>
      </c>
      <c r="AC15" s="6">
        <v>65.6</v>
      </c>
      <c r="AD15" s="6">
        <v>69.7</v>
      </c>
      <c r="AE15" s="7"/>
      <c r="AF15" s="6">
        <v>40.090909090909086</v>
      </c>
      <c r="AG15" s="6">
        <v>43.04761904761905</v>
      </c>
      <c r="AH15" s="6">
        <v>49.787234042553195</v>
      </c>
      <c r="AI15" s="6">
        <v>50.645161290322584</v>
      </c>
      <c r="AJ15" s="6">
        <v>45.092592592592595</v>
      </c>
      <c r="AK15" s="6">
        <v>45.77981651376146</v>
      </c>
      <c r="AL15" s="6">
        <v>54.111111111111114</v>
      </c>
      <c r="AM15" s="6">
        <v>50.94736842105263</v>
      </c>
      <c r="AN15" s="6">
        <v>48.301886792452834</v>
      </c>
      <c r="AO15" s="6">
        <v>49.06542056074766</v>
      </c>
      <c r="AP15" s="6">
        <v>59.565217391304344</v>
      </c>
      <c r="AQ15" s="6">
        <v>64.06593406593406</v>
      </c>
      <c r="AR15" s="6">
        <v>47.90909090909091</v>
      </c>
      <c r="AS15" s="6">
        <v>51.523809523809526</v>
      </c>
      <c r="AT15" s="6">
        <v>59.57446808510639</v>
      </c>
      <c r="AU15" s="6">
        <v>60.53763440860215</v>
      </c>
      <c r="AV15" s="6">
        <v>53.888888888888886</v>
      </c>
      <c r="AW15" s="6">
        <v>54.77064220183486</v>
      </c>
      <c r="AX15" s="6">
        <v>64.66666666666667</v>
      </c>
      <c r="AY15" s="6">
        <v>60.94736842105263</v>
      </c>
      <c r="AZ15" s="6">
        <v>57.735849056603776</v>
      </c>
      <c r="BA15" s="6">
        <v>58.598130841121495</v>
      </c>
      <c r="BB15" s="6">
        <v>71.30434782608695</v>
      </c>
      <c r="BC15" s="6">
        <v>76.5934065934066</v>
      </c>
    </row>
    <row r="16" ht="15.997499999999997" customHeight="1">
      <c r="A16" s="8" t="s">
        <v>35</v>
      </c>
      <c r="B16" s="8" t="s">
        <v>52</v>
      </c>
      <c r="C16" s="8" t="s">
        <v>42</v>
      </c>
      <c r="D16" s="8" t="s">
        <v>43</v>
      </c>
      <c r="E16" s="8" t="s">
        <v>56</v>
      </c>
      <c r="F16" s="8" t="s">
        <v>39</v>
      </c>
      <c r="G16" s="9">
        <f t="shared" si="1" ref="G16:BC16">SUM(G14:G15)</f>
        <v>465.5</v>
      </c>
      <c r="H16" s="9">
        <f t="shared" si="1"/>
        <v>480.5</v>
      </c>
      <c r="I16" s="9">
        <f t="shared" si="1"/>
        <v>500.9</v>
      </c>
      <c r="J16" s="9">
        <f t="shared" si="1"/>
        <v>506.8</v>
      </c>
      <c r="K16" s="9">
        <f t="shared" si="1"/>
        <v>528.1</v>
      </c>
      <c r="L16" s="9">
        <f t="shared" si="1"/>
        <v>544.9</v>
      </c>
      <c r="M16" s="9">
        <f t="shared" si="1"/>
        <v>535.2</v>
      </c>
      <c r="N16" s="9">
        <f t="shared" si="1"/>
        <v>535.8</v>
      </c>
      <c r="O16" s="9">
        <f t="shared" si="1"/>
        <v>570.1</v>
      </c>
      <c r="P16" s="9">
        <f t="shared" si="1"/>
        <v>588.3</v>
      </c>
      <c r="Q16" s="9">
        <f t="shared" si="1"/>
        <v>618.8</v>
      </c>
      <c r="R16" s="9">
        <f t="shared" si="1"/>
        <v>662.5</v>
      </c>
      <c r="S16" s="9">
        <f t="shared" si="1"/>
        <v>603.1</v>
      </c>
      <c r="T16" s="9">
        <f t="shared" si="1"/>
        <v>622.6</v>
      </c>
      <c r="U16" s="9">
        <f t="shared" si="1"/>
        <v>649</v>
      </c>
      <c r="V16" s="9">
        <f t="shared" si="1"/>
        <v>656.7</v>
      </c>
      <c r="W16" s="9">
        <f t="shared" si="1"/>
        <v>684.4</v>
      </c>
      <c r="X16" s="9">
        <f t="shared" si="1"/>
        <v>706.2</v>
      </c>
      <c r="Y16" s="9">
        <f t="shared" si="1"/>
        <v>693.6</v>
      </c>
      <c r="Z16" s="9">
        <f t="shared" si="1"/>
        <v>694.5</v>
      </c>
      <c r="AA16" s="9">
        <f t="shared" si="1"/>
        <v>738.9</v>
      </c>
      <c r="AB16" s="9">
        <f t="shared" si="1"/>
        <v>762.5</v>
      </c>
      <c r="AC16" s="9">
        <f t="shared" si="1"/>
        <v>802.2</v>
      </c>
      <c r="AD16" s="9">
        <f t="shared" si="1"/>
        <v>858.8</v>
      </c>
      <c r="AE16" s="10"/>
      <c r="AF16" s="9">
        <f t="shared" si="1"/>
        <v>426.696413678065</v>
      </c>
      <c r="AG16" s="9">
        <f t="shared" si="1"/>
        <v>438.774891774892</v>
      </c>
      <c r="AH16" s="9">
        <f t="shared" si="1"/>
        <v>527.787234042553</v>
      </c>
      <c r="AI16" s="9">
        <f t="shared" si="1"/>
        <v>539.687714481812</v>
      </c>
      <c r="AJ16" s="9">
        <f t="shared" si="1"/>
        <v>493.129975770163</v>
      </c>
      <c r="AK16" s="9">
        <f t="shared" si="1"/>
        <v>504.113149847095</v>
      </c>
      <c r="AL16" s="9">
        <f t="shared" si="1"/>
        <v>588.726495726496</v>
      </c>
      <c r="AM16" s="9">
        <f t="shared" si="1"/>
        <v>592.502923976608</v>
      </c>
      <c r="AN16" s="9">
        <f t="shared" si="1"/>
        <v>542.492362982929</v>
      </c>
      <c r="AO16" s="9">
        <f t="shared" si="1"/>
        <v>554.537118673955</v>
      </c>
      <c r="AP16" s="9">
        <f t="shared" si="1"/>
        <v>666.01683029453</v>
      </c>
      <c r="AQ16" s="9">
        <f t="shared" si="1"/>
        <v>720.805064500717</v>
      </c>
      <c r="AR16" s="9">
        <f t="shared" si="1"/>
        <v>552.863219349458</v>
      </c>
      <c r="AS16" s="9">
        <f t="shared" si="1"/>
        <v>568.341991341991</v>
      </c>
      <c r="AT16" s="9">
        <f t="shared" si="1"/>
        <v>683.784994400896</v>
      </c>
      <c r="AU16" s="9">
        <f t="shared" si="1"/>
        <v>699.261038663921</v>
      </c>
      <c r="AV16" s="9">
        <f t="shared" si="1"/>
        <v>639.122533748702</v>
      </c>
      <c r="AW16" s="9">
        <f t="shared" si="1"/>
        <v>653.381753312946</v>
      </c>
      <c r="AX16" s="9">
        <f t="shared" si="1"/>
        <v>762.908424908425</v>
      </c>
      <c r="AY16" s="9">
        <f t="shared" si="1"/>
        <v>768.280701754386</v>
      </c>
      <c r="AZ16" s="9">
        <f t="shared" si="1"/>
        <v>703.164420485175</v>
      </c>
      <c r="BA16" s="9">
        <f t="shared" si="1"/>
        <v>718.786810086404</v>
      </c>
      <c r="BB16" s="9">
        <f t="shared" si="1"/>
        <v>863.347358578775</v>
      </c>
      <c r="BC16" s="9">
        <f t="shared" si="1"/>
        <v>934.310797897754</v>
      </c>
    </row>
    <row r="17" ht="15.997499999999997" customHeight="1">
      <c r="A17" s="5" t="s">
        <v>45</v>
      </c>
      <c r="B17" s="5" t="s">
        <v>45</v>
      </c>
      <c r="C17" s="5" t="s">
        <v>45</v>
      </c>
      <c r="D17" s="5" t="s">
        <v>45</v>
      </c>
      <c r="E17" s="5" t="s">
        <v>45</v>
      </c>
      <c r="F17" s="5" t="s">
        <v>45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7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ht="15.997499999999997" customHeight="1">
      <c r="A18" s="5" t="s">
        <v>35</v>
      </c>
      <c r="B18" s="5" t="s">
        <v>57</v>
      </c>
      <c r="C18" s="5" t="s">
        <v>58</v>
      </c>
      <c r="D18" s="5">
        <v>4110</v>
      </c>
      <c r="E18" s="5" t="s">
        <v>59</v>
      </c>
      <c r="F18" s="5" t="s">
        <v>39</v>
      </c>
      <c r="G18" s="6">
        <v>220.5</v>
      </c>
      <c r="H18" s="6">
        <v>226.1</v>
      </c>
      <c r="I18" s="6">
        <v>234.1</v>
      </c>
      <c r="J18" s="6">
        <v>235.3</v>
      </c>
      <c r="K18" s="6">
        <v>243.6</v>
      </c>
      <c r="L18" s="6">
        <v>249.7</v>
      </c>
      <c r="M18" s="6">
        <v>243.6</v>
      </c>
      <c r="N18" s="6">
        <v>242.2</v>
      </c>
      <c r="O18" s="6">
        <v>256</v>
      </c>
      <c r="P18" s="6">
        <v>262.4</v>
      </c>
      <c r="Q18" s="6">
        <v>274.2</v>
      </c>
      <c r="R18" s="6">
        <v>291.5</v>
      </c>
      <c r="S18" s="6">
        <v>263.6</v>
      </c>
      <c r="T18" s="6">
        <v>270.3</v>
      </c>
      <c r="U18" s="6">
        <v>279.9</v>
      </c>
      <c r="V18" s="6">
        <v>281.3</v>
      </c>
      <c r="W18" s="6">
        <v>291.2</v>
      </c>
      <c r="X18" s="6">
        <v>298.5</v>
      </c>
      <c r="Y18" s="6">
        <v>291.2</v>
      </c>
      <c r="Z18" s="6">
        <v>289.6</v>
      </c>
      <c r="AA18" s="6">
        <v>306.1</v>
      </c>
      <c r="AB18" s="6">
        <v>313.7</v>
      </c>
      <c r="AC18" s="6">
        <v>327.8</v>
      </c>
      <c r="AD18" s="6">
        <v>348.6</v>
      </c>
      <c r="AE18" s="7"/>
      <c r="AF18" s="6">
        <v>206.07476635514018</v>
      </c>
      <c r="AG18" s="6">
        <v>209.35185185185182</v>
      </c>
      <c r="AH18" s="6">
        <v>257.2527472527472</v>
      </c>
      <c r="AI18" s="6">
        <v>261.44444444444446</v>
      </c>
      <c r="AJ18" s="6">
        <v>231.99999999999997</v>
      </c>
      <c r="AK18" s="6">
        <v>235.56603773584902</v>
      </c>
      <c r="AL18" s="6">
        <v>261.93548387096774</v>
      </c>
      <c r="AM18" s="6">
        <v>263.2608695652174</v>
      </c>
      <c r="AN18" s="6">
        <v>234.8623853211009</v>
      </c>
      <c r="AO18" s="6">
        <v>238.5454545454545</v>
      </c>
      <c r="AP18" s="6">
        <v>288.63157894736844</v>
      </c>
      <c r="AQ18" s="6">
        <v>310.10638297872345</v>
      </c>
      <c r="AR18" s="6">
        <v>246.3551401869159</v>
      </c>
      <c r="AS18" s="6">
        <v>250.27777777777777</v>
      </c>
      <c r="AT18" s="6">
        <v>307.5824175824175</v>
      </c>
      <c r="AU18" s="6">
        <v>312.55555555555554</v>
      </c>
      <c r="AV18" s="6">
        <v>277.3333333333333</v>
      </c>
      <c r="AW18" s="6">
        <v>281.60377358490564</v>
      </c>
      <c r="AX18" s="6">
        <v>313.1182795698925</v>
      </c>
      <c r="AY18" s="6">
        <v>314.7826086956522</v>
      </c>
      <c r="AZ18" s="6">
        <v>280.8256880733945</v>
      </c>
      <c r="BA18" s="6">
        <v>285.18181818181813</v>
      </c>
      <c r="BB18" s="6">
        <v>345.0526315789474</v>
      </c>
      <c r="BC18" s="6">
        <v>370.8510638297873</v>
      </c>
    </row>
    <row r="19" ht="15.997499999999997" customHeight="1">
      <c r="A19" s="5" t="s">
        <v>35</v>
      </c>
      <c r="B19" s="5" t="s">
        <v>57</v>
      </c>
      <c r="C19" s="5" t="s">
        <v>58</v>
      </c>
      <c r="D19" s="5">
        <v>4200</v>
      </c>
      <c r="E19" s="5" t="s">
        <v>60</v>
      </c>
      <c r="F19" s="5" t="s">
        <v>39</v>
      </c>
      <c r="G19" s="6">
        <v>60.8</v>
      </c>
      <c r="H19" s="6">
        <v>62.3</v>
      </c>
      <c r="I19" s="6">
        <v>64.5</v>
      </c>
      <c r="J19" s="6">
        <v>64.8</v>
      </c>
      <c r="K19" s="6">
        <v>67.1</v>
      </c>
      <c r="L19" s="6">
        <v>68.8</v>
      </c>
      <c r="M19" s="6">
        <v>67.1</v>
      </c>
      <c r="N19" s="6">
        <v>66.7</v>
      </c>
      <c r="O19" s="6">
        <v>70.5</v>
      </c>
      <c r="P19" s="6">
        <v>72.3</v>
      </c>
      <c r="Q19" s="6">
        <v>75.6</v>
      </c>
      <c r="R19" s="6">
        <v>80.3</v>
      </c>
      <c r="S19" s="6">
        <v>72.6</v>
      </c>
      <c r="T19" s="6">
        <v>74.5</v>
      </c>
      <c r="U19" s="6">
        <v>77.1</v>
      </c>
      <c r="V19" s="6">
        <v>77.5</v>
      </c>
      <c r="W19" s="6">
        <v>80.3</v>
      </c>
      <c r="X19" s="6">
        <v>82.3</v>
      </c>
      <c r="Y19" s="6">
        <v>80.2</v>
      </c>
      <c r="Z19" s="6">
        <v>79.8</v>
      </c>
      <c r="AA19" s="6">
        <v>84.3</v>
      </c>
      <c r="AB19" s="6">
        <v>86.5</v>
      </c>
      <c r="AC19" s="6">
        <v>90.3</v>
      </c>
      <c r="AD19" s="6">
        <v>96.1</v>
      </c>
      <c r="AE19" s="7"/>
      <c r="AF19" s="6">
        <v>56.29629629629629</v>
      </c>
      <c r="AG19" s="6">
        <v>57.15596330275228</v>
      </c>
      <c r="AH19" s="6">
        <v>71.66666666666667</v>
      </c>
      <c r="AI19" s="6">
        <v>68.21052631578948</v>
      </c>
      <c r="AJ19" s="6">
        <v>63.30188679245282</v>
      </c>
      <c r="AK19" s="6">
        <v>64.29906542056074</v>
      </c>
      <c r="AL19" s="6">
        <v>72.93478260869564</v>
      </c>
      <c r="AM19" s="6">
        <v>73.2967032967033</v>
      </c>
      <c r="AN19" s="6">
        <v>64.09090909090908</v>
      </c>
      <c r="AO19" s="6">
        <v>68.85714285714285</v>
      </c>
      <c r="AP19" s="6">
        <v>80.42553191489361</v>
      </c>
      <c r="AQ19" s="6">
        <v>86.34408602150538</v>
      </c>
      <c r="AR19" s="6">
        <v>67.22222222222221</v>
      </c>
      <c r="AS19" s="6">
        <v>68.34862385321101</v>
      </c>
      <c r="AT19" s="6">
        <v>85.66666666666666</v>
      </c>
      <c r="AU19" s="6">
        <v>81.57894736842105</v>
      </c>
      <c r="AV19" s="6">
        <v>75.75471698113206</v>
      </c>
      <c r="AW19" s="6">
        <v>76.91588785046729</v>
      </c>
      <c r="AX19" s="6">
        <v>87.17391304347827</v>
      </c>
      <c r="AY19" s="6">
        <v>87.69230769230768</v>
      </c>
      <c r="AZ19" s="6">
        <v>76.63636363636363</v>
      </c>
      <c r="BA19" s="6">
        <v>82.38095238095238</v>
      </c>
      <c r="BB19" s="6">
        <v>96.06382978723404</v>
      </c>
      <c r="BC19" s="6">
        <v>103.33333333333333</v>
      </c>
    </row>
    <row r="20" ht="15.997499999999997" customHeight="1">
      <c r="A20" s="5" t="s">
        <v>35</v>
      </c>
      <c r="B20" s="5" t="s">
        <v>57</v>
      </c>
      <c r="C20" s="5" t="s">
        <v>58</v>
      </c>
      <c r="D20" s="5">
        <v>5200</v>
      </c>
      <c r="E20" s="5" t="s">
        <v>61</v>
      </c>
      <c r="F20" s="5" t="s">
        <v>39</v>
      </c>
      <c r="G20" s="6">
        <v>-360</v>
      </c>
      <c r="H20" s="6">
        <v>-366.5</v>
      </c>
      <c r="I20" s="6">
        <v>-373.1</v>
      </c>
      <c r="J20" s="6">
        <v>-379.8</v>
      </c>
      <c r="K20" s="6">
        <v>-386.6</v>
      </c>
      <c r="L20" s="6">
        <v>-393.6</v>
      </c>
      <c r="M20" s="6">
        <v>-400.7</v>
      </c>
      <c r="N20" s="6">
        <v>-407.9</v>
      </c>
      <c r="O20" s="6">
        <v>-415.2</v>
      </c>
      <c r="P20" s="6">
        <v>-422.7</v>
      </c>
      <c r="Q20" s="6">
        <v>-430.3</v>
      </c>
      <c r="R20" s="6">
        <v>-438.1</v>
      </c>
      <c r="S20" s="6">
        <v>-445.9</v>
      </c>
      <c r="T20" s="6">
        <v>-454</v>
      </c>
      <c r="U20" s="6">
        <v>-462.1</v>
      </c>
      <c r="V20" s="6">
        <v>-470.5</v>
      </c>
      <c r="W20" s="6">
        <v>-478.9</v>
      </c>
      <c r="X20" s="6">
        <v>-487.5</v>
      </c>
      <c r="Y20" s="6">
        <v>-496.3</v>
      </c>
      <c r="Z20" s="6">
        <v>-505.3</v>
      </c>
      <c r="AA20" s="6">
        <v>-514.3</v>
      </c>
      <c r="AB20" s="6">
        <v>-523.6</v>
      </c>
      <c r="AC20" s="6">
        <v>-533</v>
      </c>
      <c r="AD20" s="6">
        <v>-542.6</v>
      </c>
      <c r="AE20" s="7"/>
      <c r="AF20" s="6">
        <v>-330.27522935779814</v>
      </c>
      <c r="AG20" s="6">
        <v>-333.18181818181813</v>
      </c>
      <c r="AH20" s="6">
        <v>-392.7368421052632</v>
      </c>
      <c r="AI20" s="6">
        <v>-404.0425531914894</v>
      </c>
      <c r="AJ20" s="6">
        <v>-361.30841121495325</v>
      </c>
      <c r="AK20" s="6">
        <v>-364.44444444444446</v>
      </c>
      <c r="AL20" s="6">
        <v>-440.3296703296703</v>
      </c>
      <c r="AM20" s="6">
        <v>-453.2222222222222</v>
      </c>
      <c r="AN20" s="6">
        <v>-395.4285714285714</v>
      </c>
      <c r="AO20" s="6">
        <v>-398.77358490566036</v>
      </c>
      <c r="AP20" s="6">
        <v>-462.6881720430108</v>
      </c>
      <c r="AQ20" s="6">
        <v>-476.19565217391306</v>
      </c>
      <c r="AR20" s="6">
        <v>-409.0825688073394</v>
      </c>
      <c r="AS20" s="6">
        <v>-412.7272727272727</v>
      </c>
      <c r="AT20" s="6">
        <v>-486.421052631579</v>
      </c>
      <c r="AU20" s="6">
        <v>-500.53191489361706</v>
      </c>
      <c r="AV20" s="6">
        <v>-447.57009345794387</v>
      </c>
      <c r="AW20" s="6">
        <v>-451.38888888888886</v>
      </c>
      <c r="AX20" s="6">
        <v>-545.3846153846154</v>
      </c>
      <c r="AY20" s="6">
        <v>-561.4444444444445</v>
      </c>
      <c r="AZ20" s="6">
        <v>-489.80952380952374</v>
      </c>
      <c r="BA20" s="6">
        <v>-493.9622641509434</v>
      </c>
      <c r="BB20" s="6">
        <v>-573.1182795698925</v>
      </c>
      <c r="BC20" s="6">
        <v>-589.7826086956521</v>
      </c>
    </row>
    <row r="21" ht="15.997499999999997" customHeight="1">
      <c r="A21" s="5" t="s">
        <v>35</v>
      </c>
      <c r="B21" s="5" t="s">
        <v>57</v>
      </c>
      <c r="C21" s="5" t="s">
        <v>58</v>
      </c>
      <c r="D21" s="5">
        <v>5210</v>
      </c>
      <c r="E21" s="5" t="s">
        <v>62</v>
      </c>
      <c r="F21" s="5" t="s">
        <v>39</v>
      </c>
      <c r="G21" s="6">
        <v>-82</v>
      </c>
      <c r="H21" s="6">
        <v>-83</v>
      </c>
      <c r="I21" s="6">
        <v>-84</v>
      </c>
      <c r="J21" s="6">
        <v>-85</v>
      </c>
      <c r="K21" s="6">
        <v>-86</v>
      </c>
      <c r="L21" s="6">
        <v>-87</v>
      </c>
      <c r="M21" s="6">
        <v>-88.1</v>
      </c>
      <c r="N21" s="6">
        <v>-89.1</v>
      </c>
      <c r="O21" s="6">
        <v>-90.2</v>
      </c>
      <c r="P21" s="6">
        <v>-91.3</v>
      </c>
      <c r="Q21" s="6">
        <v>-92.4</v>
      </c>
      <c r="R21" s="6">
        <v>-93.5</v>
      </c>
      <c r="S21" s="6">
        <v>-94.6</v>
      </c>
      <c r="T21" s="6">
        <v>-95.8</v>
      </c>
      <c r="U21" s="6">
        <v>-96.9</v>
      </c>
      <c r="V21" s="6">
        <v>-98.1</v>
      </c>
      <c r="W21" s="6">
        <v>-99.2</v>
      </c>
      <c r="X21" s="6">
        <v>-100.4</v>
      </c>
      <c r="Y21" s="6">
        <v>-101.6</v>
      </c>
      <c r="Z21" s="6">
        <v>-102.9</v>
      </c>
      <c r="AA21" s="6">
        <v>-104.1</v>
      </c>
      <c r="AB21" s="6">
        <v>-105.3</v>
      </c>
      <c r="AC21" s="6">
        <v>-106.6</v>
      </c>
      <c r="AD21" s="6">
        <v>-107.9</v>
      </c>
      <c r="AE21" s="7"/>
      <c r="AF21" s="6">
        <v>-74.54545454545453</v>
      </c>
      <c r="AG21" s="6">
        <v>-79.04761904761905</v>
      </c>
      <c r="AH21" s="6">
        <v>-89.36170212765958</v>
      </c>
      <c r="AI21" s="6">
        <v>-91.3978494623656</v>
      </c>
      <c r="AJ21" s="6">
        <v>-79.62962962962962</v>
      </c>
      <c r="AK21" s="6">
        <v>-79.81651376146789</v>
      </c>
      <c r="AL21" s="6">
        <v>-97.88888888888889</v>
      </c>
      <c r="AM21" s="6">
        <v>-93.78947368421052</v>
      </c>
      <c r="AN21" s="6">
        <v>-85.09433962264151</v>
      </c>
      <c r="AO21" s="6">
        <v>-85.32710280373831</v>
      </c>
      <c r="AP21" s="6">
        <v>-100.43478260869566</v>
      </c>
      <c r="AQ21" s="6">
        <v>-102.74725274725274</v>
      </c>
      <c r="AR21" s="6">
        <v>-85.99999999999999</v>
      </c>
      <c r="AS21" s="6">
        <v>-91.23809523809523</v>
      </c>
      <c r="AT21" s="6">
        <v>-103.08510638297874</v>
      </c>
      <c r="AU21" s="6">
        <v>-105.48387096774194</v>
      </c>
      <c r="AV21" s="6">
        <v>-91.85185185185185</v>
      </c>
      <c r="AW21" s="6">
        <v>-92.11009174311927</v>
      </c>
      <c r="AX21" s="6">
        <v>-112.88888888888889</v>
      </c>
      <c r="AY21" s="6">
        <v>-108.31578947368422</v>
      </c>
      <c r="AZ21" s="6">
        <v>-98.2075471698113</v>
      </c>
      <c r="BA21" s="6">
        <v>-98.41121495327101</v>
      </c>
      <c r="BB21" s="6">
        <v>-115.8695652173913</v>
      </c>
      <c r="BC21" s="6">
        <v>-118.57142857142857</v>
      </c>
    </row>
    <row r="22" ht="15.997499999999997" customHeight="1">
      <c r="A22" s="5" t="s">
        <v>35</v>
      </c>
      <c r="B22" s="5" t="s">
        <v>57</v>
      </c>
      <c r="C22" s="5" t="s">
        <v>58</v>
      </c>
      <c r="D22" s="5">
        <v>5220</v>
      </c>
      <c r="E22" s="5" t="s">
        <v>63</v>
      </c>
      <c r="F22" s="5" t="s">
        <v>39</v>
      </c>
      <c r="G22" s="6">
        <v>-36</v>
      </c>
      <c r="H22" s="6">
        <v>-36.4</v>
      </c>
      <c r="I22" s="6">
        <v>-36.9</v>
      </c>
      <c r="J22" s="6">
        <v>-37.3</v>
      </c>
      <c r="K22" s="6">
        <v>-37.8</v>
      </c>
      <c r="L22" s="6">
        <v>-38.2</v>
      </c>
      <c r="M22" s="6">
        <v>-38.7</v>
      </c>
      <c r="N22" s="6">
        <v>-39.1</v>
      </c>
      <c r="O22" s="6">
        <v>-39.6</v>
      </c>
      <c r="P22" s="6">
        <v>-40.1</v>
      </c>
      <c r="Q22" s="6">
        <v>-40.6</v>
      </c>
      <c r="R22" s="6">
        <v>-41</v>
      </c>
      <c r="S22" s="6">
        <v>-41.5</v>
      </c>
      <c r="T22" s="6">
        <v>-42</v>
      </c>
      <c r="U22" s="6">
        <v>-42.5</v>
      </c>
      <c r="V22" s="6">
        <v>-43.1</v>
      </c>
      <c r="W22" s="6">
        <v>-43.6</v>
      </c>
      <c r="X22" s="6">
        <v>-44.1</v>
      </c>
      <c r="Y22" s="6">
        <v>-44.6</v>
      </c>
      <c r="Z22" s="6">
        <v>-45.2</v>
      </c>
      <c r="AA22" s="6">
        <v>-45.7</v>
      </c>
      <c r="AB22" s="6">
        <v>-46.2</v>
      </c>
      <c r="AC22" s="6">
        <v>-46.8</v>
      </c>
      <c r="AD22" s="6">
        <v>-47.4</v>
      </c>
      <c r="AE22" s="7"/>
      <c r="AF22" s="6">
        <v>-34.285714285714285</v>
      </c>
      <c r="AG22" s="6">
        <v>-34.33962264150943</v>
      </c>
      <c r="AH22" s="6">
        <v>-39.67741935483871</v>
      </c>
      <c r="AI22" s="6">
        <v>-40.54347826086956</v>
      </c>
      <c r="AJ22" s="6">
        <v>-34.678899082568805</v>
      </c>
      <c r="AK22" s="6">
        <v>-34.72727272727273</v>
      </c>
      <c r="AL22" s="6">
        <v>-40.736842105263165</v>
      </c>
      <c r="AM22" s="6">
        <v>-41.59574468085107</v>
      </c>
      <c r="AN22" s="6">
        <v>-37.00934579439252</v>
      </c>
      <c r="AO22" s="6">
        <v>-37.129629629629626</v>
      </c>
      <c r="AP22" s="6">
        <v>-44.61538461538461</v>
      </c>
      <c r="AQ22" s="6">
        <v>-45.55555555555556</v>
      </c>
      <c r="AR22" s="6">
        <v>-39.523809523809526</v>
      </c>
      <c r="AS22" s="6">
        <v>-39.62264150943396</v>
      </c>
      <c r="AT22" s="6">
        <v>-45.6989247311828</v>
      </c>
      <c r="AU22" s="6">
        <v>-46.84782608695652</v>
      </c>
      <c r="AV22" s="6">
        <v>-40</v>
      </c>
      <c r="AW22" s="6">
        <v>-40.090909090909086</v>
      </c>
      <c r="AX22" s="6">
        <v>-46.94736842105264</v>
      </c>
      <c r="AY22" s="6">
        <v>-48.08510638297873</v>
      </c>
      <c r="AZ22" s="6">
        <v>-42.71028037383178</v>
      </c>
      <c r="BA22" s="6">
        <v>-42.77777777777778</v>
      </c>
      <c r="BB22" s="6">
        <v>-51.42857142857142</v>
      </c>
      <c r="BC22" s="6">
        <v>-52.666666666666664</v>
      </c>
    </row>
    <row r="23" ht="15.997499999999997" customHeight="1">
      <c r="A23" s="8" t="s">
        <v>35</v>
      </c>
      <c r="B23" s="8" t="s">
        <v>57</v>
      </c>
      <c r="C23" s="8" t="s">
        <v>42</v>
      </c>
      <c r="D23" s="8" t="s">
        <v>43</v>
      </c>
      <c r="E23" s="8" t="s">
        <v>64</v>
      </c>
      <c r="F23" s="8" t="s">
        <v>39</v>
      </c>
      <c r="G23" s="9">
        <f t="shared" si="2" ref="G23:BC35">SUM(G18:G22)</f>
        <v>-196.7</v>
      </c>
      <c r="H23" s="9">
        <f t="shared" si="2"/>
        <v>-197.5</v>
      </c>
      <c r="I23" s="9">
        <f t="shared" si="2"/>
        <v>-195.4</v>
      </c>
      <c r="J23" s="9">
        <f t="shared" si="2"/>
        <v>-202</v>
      </c>
      <c r="K23" s="9">
        <f t="shared" si="2"/>
        <v>-199.7</v>
      </c>
      <c r="L23" s="9">
        <f t="shared" si="2"/>
        <v>-200.3</v>
      </c>
      <c r="M23" s="9">
        <f t="shared" si="2"/>
        <v>-216.8</v>
      </c>
      <c r="N23" s="9">
        <f t="shared" si="2"/>
        <v>-227.2</v>
      </c>
      <c r="O23" s="9">
        <f t="shared" si="2"/>
        <v>-218.5</v>
      </c>
      <c r="P23" s="9">
        <f t="shared" si="2"/>
        <v>-219.4</v>
      </c>
      <c r="Q23" s="9">
        <f t="shared" si="2"/>
        <v>-213.5</v>
      </c>
      <c r="R23" s="9">
        <f t="shared" si="2"/>
        <v>-200.8</v>
      </c>
      <c r="S23" s="9">
        <f t="shared" si="2"/>
        <v>-245.8</v>
      </c>
      <c r="T23" s="9">
        <f t="shared" si="2"/>
        <v>-247</v>
      </c>
      <c r="U23" s="9">
        <f t="shared" si="2"/>
        <v>-244.5</v>
      </c>
      <c r="V23" s="9">
        <f t="shared" si="2"/>
        <v>-252.9</v>
      </c>
      <c r="W23" s="9">
        <f t="shared" si="2"/>
        <v>-250.2</v>
      </c>
      <c r="X23" s="9">
        <f t="shared" si="2"/>
        <v>-251.2</v>
      </c>
      <c r="Y23" s="9">
        <f t="shared" si="2"/>
        <v>-271.1</v>
      </c>
      <c r="Z23" s="9">
        <f t="shared" si="2"/>
        <v>-284</v>
      </c>
      <c r="AA23" s="9">
        <f t="shared" si="2"/>
        <v>-273.7</v>
      </c>
      <c r="AB23" s="9">
        <f t="shared" si="2"/>
        <v>-274.9</v>
      </c>
      <c r="AC23" s="9">
        <f t="shared" si="2"/>
        <v>-268.3</v>
      </c>
      <c r="AD23" s="9">
        <f t="shared" si="2"/>
        <v>-253.2</v>
      </c>
      <c r="AE23" s="10"/>
      <c r="AF23" s="9">
        <f t="shared" si="2"/>
        <v>-176.73533553753</v>
      </c>
      <c r="AG23" s="9">
        <f t="shared" si="2"/>
        <v>-180.061244716343</v>
      </c>
      <c r="AH23" s="9">
        <f t="shared" si="2"/>
        <v>-192.856549668348</v>
      </c>
      <c r="AI23" s="9">
        <f t="shared" si="2"/>
        <v>-206.328910154491</v>
      </c>
      <c r="AJ23" s="9">
        <f t="shared" si="2"/>
        <v>-180.315053134699</v>
      </c>
      <c r="AK23" s="9">
        <f t="shared" si="2"/>
        <v>-179.123127776775</v>
      </c>
      <c r="AL23" s="9">
        <f t="shared" si="2"/>
        <v>-244.085134844159</v>
      </c>
      <c r="AM23" s="9">
        <f t="shared" si="2"/>
        <v>-252.049867725363</v>
      </c>
      <c r="AN23" s="9">
        <f t="shared" si="2"/>
        <v>-218.578962433595</v>
      </c>
      <c r="AO23" s="9">
        <f t="shared" si="2"/>
        <v>-213.827719936431</v>
      </c>
      <c r="AP23" s="9">
        <f t="shared" si="2"/>
        <v>-238.681228404829</v>
      </c>
      <c r="AQ23" s="9">
        <f t="shared" si="2"/>
        <v>-228.047991476492</v>
      </c>
      <c r="AR23" s="9">
        <f t="shared" si="2"/>
        <v>-221.029015922011</v>
      </c>
      <c r="AS23" s="9">
        <f t="shared" si="2"/>
        <v>-224.961607843813</v>
      </c>
      <c r="AT23" s="9">
        <f t="shared" si="2"/>
        <v>-241.955999496656</v>
      </c>
      <c r="AU23" s="9">
        <f t="shared" si="2"/>
        <v>-258.729109024339</v>
      </c>
      <c r="AV23" s="9">
        <f t="shared" si="2"/>
        <v>-226.33389499533</v>
      </c>
      <c r="AW23" s="9">
        <f t="shared" si="2"/>
        <v>-225.070228287544</v>
      </c>
      <c r="AX23" s="9">
        <f t="shared" si="2"/>
        <v>-304.928680081186</v>
      </c>
      <c r="AY23" s="9">
        <f t="shared" si="2"/>
        <v>-315.370423913148</v>
      </c>
      <c r="AZ23" s="9">
        <f t="shared" si="2"/>
        <v>-273.265299643409</v>
      </c>
      <c r="BA23" s="9">
        <f t="shared" si="2"/>
        <v>-267.588486319222</v>
      </c>
      <c r="BB23" s="9">
        <f t="shared" si="2"/>
        <v>-299.299954849674</v>
      </c>
      <c r="BC23" s="9">
        <f t="shared" si="2"/>
        <v>-286.836306770627</v>
      </c>
    </row>
    <row r="24" ht="15.997499999999997" customHeight="1">
      <c r="A24" s="5" t="s">
        <v>45</v>
      </c>
      <c r="B24" s="5" t="s">
        <v>45</v>
      </c>
      <c r="C24" s="5" t="s">
        <v>45</v>
      </c>
      <c r="D24" s="5" t="s">
        <v>45</v>
      </c>
      <c r="E24" s="5" t="s">
        <v>45</v>
      </c>
      <c r="F24" s="5" t="s">
        <v>45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7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ht="15.997499999999997" customHeight="1">
      <c r="A25" s="5" t="s">
        <v>35</v>
      </c>
      <c r="B25" s="5" t="s">
        <v>65</v>
      </c>
      <c r="C25" s="5" t="s">
        <v>66</v>
      </c>
      <c r="D25" s="5">
        <v>4300</v>
      </c>
      <c r="E25" s="5" t="s">
        <v>67</v>
      </c>
      <c r="F25" s="5" t="s">
        <v>39</v>
      </c>
      <c r="G25" s="6">
        <v>186.2</v>
      </c>
      <c r="H25" s="6">
        <v>190.9</v>
      </c>
      <c r="I25" s="6">
        <v>197.7</v>
      </c>
      <c r="J25" s="6">
        <v>198.7</v>
      </c>
      <c r="K25" s="6">
        <v>205.7</v>
      </c>
      <c r="L25" s="6">
        <v>210.8</v>
      </c>
      <c r="M25" s="6">
        <v>205.7</v>
      </c>
      <c r="N25" s="6">
        <v>204.5</v>
      </c>
      <c r="O25" s="6">
        <v>216.2</v>
      </c>
      <c r="P25" s="6">
        <v>221.6</v>
      </c>
      <c r="Q25" s="6">
        <v>231.5</v>
      </c>
      <c r="R25" s="6">
        <v>246.2</v>
      </c>
      <c r="S25" s="6">
        <v>222.6</v>
      </c>
      <c r="T25" s="6">
        <v>228.3</v>
      </c>
      <c r="U25" s="6">
        <v>236.4</v>
      </c>
      <c r="V25" s="6">
        <v>237.5</v>
      </c>
      <c r="W25" s="6">
        <v>245.9</v>
      </c>
      <c r="X25" s="6">
        <v>252.1</v>
      </c>
      <c r="Y25" s="6">
        <v>245.9</v>
      </c>
      <c r="Z25" s="6">
        <v>244.6</v>
      </c>
      <c r="AA25" s="6">
        <v>258.5</v>
      </c>
      <c r="AB25" s="6">
        <v>264.9</v>
      </c>
      <c r="AC25" s="6">
        <v>276.8</v>
      </c>
      <c r="AD25" s="6">
        <v>294.4</v>
      </c>
      <c r="AE25" s="7"/>
      <c r="AF25" s="6">
        <v>172.4074074074074</v>
      </c>
      <c r="AG25" s="6">
        <v>175.13761467889907</v>
      </c>
      <c r="AH25" s="6">
        <v>219.66666666666666</v>
      </c>
      <c r="AI25" s="6">
        <v>209.1578947368421</v>
      </c>
      <c r="AJ25" s="6">
        <v>194.0566037735849</v>
      </c>
      <c r="AK25" s="6">
        <v>197.00934579439252</v>
      </c>
      <c r="AL25" s="6">
        <v>223.5869565217391</v>
      </c>
      <c r="AM25" s="6">
        <v>224.72527472527472</v>
      </c>
      <c r="AN25" s="6">
        <v>196.54545454545453</v>
      </c>
      <c r="AO25" s="6">
        <v>211.04761904761904</v>
      </c>
      <c r="AP25" s="6">
        <v>246.27659574468086</v>
      </c>
      <c r="AQ25" s="6">
        <v>264.73118279569894</v>
      </c>
      <c r="AR25" s="6">
        <v>206.1111111111111</v>
      </c>
      <c r="AS25" s="6">
        <v>209.44954128440367</v>
      </c>
      <c r="AT25" s="6">
        <v>262.6666666666667</v>
      </c>
      <c r="AU25" s="6">
        <v>250</v>
      </c>
      <c r="AV25" s="6">
        <v>231.9811320754717</v>
      </c>
      <c r="AW25" s="6">
        <v>235.607476635514</v>
      </c>
      <c r="AX25" s="6">
        <v>267.2826086956522</v>
      </c>
      <c r="AY25" s="6">
        <v>268.79120879120876</v>
      </c>
      <c r="AZ25" s="6">
        <v>234.99999999999997</v>
      </c>
      <c r="BA25" s="6">
        <v>252.28571428571425</v>
      </c>
      <c r="BB25" s="6">
        <v>294.468085106383</v>
      </c>
      <c r="BC25" s="6">
        <v>316.55913978494624</v>
      </c>
    </row>
    <row r="26" ht="15.997499999999997" customHeight="1">
      <c r="A26" s="5" t="s">
        <v>35</v>
      </c>
      <c r="B26" s="5" t="s">
        <v>65</v>
      </c>
      <c r="C26" s="5" t="s">
        <v>66</v>
      </c>
      <c r="D26" s="5">
        <v>4900</v>
      </c>
      <c r="E26" s="5" t="s">
        <v>68</v>
      </c>
      <c r="F26" s="5" t="s">
        <v>39</v>
      </c>
      <c r="G26" s="6">
        <v>28</v>
      </c>
      <c r="H26" s="6">
        <v>28.1</v>
      </c>
      <c r="I26" s="6">
        <v>28.2</v>
      </c>
      <c r="J26" s="6">
        <v>28.3</v>
      </c>
      <c r="K26" s="6">
        <v>28.5</v>
      </c>
      <c r="L26" s="6">
        <v>28.6</v>
      </c>
      <c r="M26" s="6">
        <v>28.7</v>
      </c>
      <c r="N26" s="6">
        <v>28.8</v>
      </c>
      <c r="O26" s="6">
        <v>28.9</v>
      </c>
      <c r="P26" s="6">
        <v>29</v>
      </c>
      <c r="Q26" s="6">
        <v>29.1</v>
      </c>
      <c r="R26" s="6">
        <v>29.3</v>
      </c>
      <c r="S26" s="6">
        <v>29.4</v>
      </c>
      <c r="T26" s="6">
        <v>29.5</v>
      </c>
      <c r="U26" s="6">
        <v>29.6</v>
      </c>
      <c r="V26" s="6">
        <v>29.7</v>
      </c>
      <c r="W26" s="6">
        <v>29.8</v>
      </c>
      <c r="X26" s="6">
        <v>30</v>
      </c>
      <c r="Y26" s="6">
        <v>30.1</v>
      </c>
      <c r="Z26" s="6">
        <v>30.2</v>
      </c>
      <c r="AA26" s="6">
        <v>30.3</v>
      </c>
      <c r="AB26" s="6">
        <v>30.4</v>
      </c>
      <c r="AC26" s="6">
        <v>30.6</v>
      </c>
      <c r="AD26" s="6">
        <v>30.7</v>
      </c>
      <c r="AE26" s="7"/>
      <c r="AF26" s="6">
        <v>25.68807339449541</v>
      </c>
      <c r="AG26" s="6">
        <v>25.545454545454543</v>
      </c>
      <c r="AH26" s="6">
        <v>29.68421052631579</v>
      </c>
      <c r="AI26" s="6">
        <v>30.106382978723406</v>
      </c>
      <c r="AJ26" s="6">
        <v>26.635514018691588</v>
      </c>
      <c r="AK26" s="6">
        <v>26.48148148148148</v>
      </c>
      <c r="AL26" s="6">
        <v>31.538461538461537</v>
      </c>
      <c r="AM26" s="6">
        <v>32</v>
      </c>
      <c r="AN26" s="6">
        <v>27.523809523809522</v>
      </c>
      <c r="AO26" s="6">
        <v>27.358490566037734</v>
      </c>
      <c r="AP26" s="6">
        <v>31.290322580645164</v>
      </c>
      <c r="AQ26" s="6">
        <v>31.84782608695652</v>
      </c>
      <c r="AR26" s="6">
        <v>26.97247706422018</v>
      </c>
      <c r="AS26" s="6">
        <v>26.818181818181817</v>
      </c>
      <c r="AT26" s="6">
        <v>31.15789473684211</v>
      </c>
      <c r="AU26" s="6">
        <v>31.595744680851066</v>
      </c>
      <c r="AV26" s="6">
        <v>27.850467289719624</v>
      </c>
      <c r="AW26" s="6">
        <v>27.777777777777775</v>
      </c>
      <c r="AX26" s="6">
        <v>33.07692307692308</v>
      </c>
      <c r="AY26" s="6">
        <v>33.55555555555556</v>
      </c>
      <c r="AZ26" s="6">
        <v>28.857142857142858</v>
      </c>
      <c r="BA26" s="6">
        <v>28.679245283018865</v>
      </c>
      <c r="BB26" s="6">
        <v>32.903225806451616</v>
      </c>
      <c r="BC26" s="6">
        <v>33.369565217391305</v>
      </c>
    </row>
    <row r="27" ht="15.997499999999997" customHeight="1">
      <c r="A27" s="5" t="s">
        <v>35</v>
      </c>
      <c r="B27" s="5" t="s">
        <v>65</v>
      </c>
      <c r="C27" s="5" t="s">
        <v>66</v>
      </c>
      <c r="D27" s="5">
        <v>6010</v>
      </c>
      <c r="E27" s="5" t="s">
        <v>69</v>
      </c>
      <c r="F27" s="5" t="s">
        <v>39</v>
      </c>
      <c r="G27" s="6">
        <v>-48</v>
      </c>
      <c r="H27" s="6">
        <v>-48.6</v>
      </c>
      <c r="I27" s="6">
        <v>-49.2</v>
      </c>
      <c r="J27" s="6">
        <v>-49.7</v>
      </c>
      <c r="K27" s="6">
        <v>-50.3</v>
      </c>
      <c r="L27" s="6">
        <v>-50.9</v>
      </c>
      <c r="M27" s="6">
        <v>-51.6</v>
      </c>
      <c r="N27" s="6">
        <v>-52.2</v>
      </c>
      <c r="O27" s="6">
        <v>-52.8</v>
      </c>
      <c r="P27" s="6">
        <v>-53.4</v>
      </c>
      <c r="Q27" s="6">
        <v>-54.1</v>
      </c>
      <c r="R27" s="6">
        <v>-54.7</v>
      </c>
      <c r="S27" s="6">
        <v>-55.4</v>
      </c>
      <c r="T27" s="6">
        <v>-56.1</v>
      </c>
      <c r="U27" s="6">
        <v>-56.7</v>
      </c>
      <c r="V27" s="6">
        <v>-57.4</v>
      </c>
      <c r="W27" s="6">
        <v>-58.1</v>
      </c>
      <c r="X27" s="6">
        <v>-58.8</v>
      </c>
      <c r="Y27" s="6">
        <v>-59.5</v>
      </c>
      <c r="Z27" s="6">
        <v>-60.2</v>
      </c>
      <c r="AA27" s="6">
        <v>-60.9</v>
      </c>
      <c r="AB27" s="6">
        <v>-61.7</v>
      </c>
      <c r="AC27" s="6">
        <v>-62.4</v>
      </c>
      <c r="AD27" s="6">
        <v>-63.2</v>
      </c>
      <c r="AE27" s="7"/>
      <c r="AF27" s="6">
        <v>-43.63636363636363</v>
      </c>
      <c r="AG27" s="6">
        <v>-46.285714285714285</v>
      </c>
      <c r="AH27" s="6">
        <v>-52.3404255319149</v>
      </c>
      <c r="AI27" s="6">
        <v>-53.44086021505377</v>
      </c>
      <c r="AJ27" s="6">
        <v>-46.57407407407407</v>
      </c>
      <c r="AK27" s="6">
        <v>-46.69724770642201</v>
      </c>
      <c r="AL27" s="6">
        <v>-57.333333333333336</v>
      </c>
      <c r="AM27" s="6">
        <v>-54.94736842105264</v>
      </c>
      <c r="AN27" s="6">
        <v>-49.811320754716974</v>
      </c>
      <c r="AO27" s="6">
        <v>-49.90654205607476</v>
      </c>
      <c r="AP27" s="6">
        <v>-58.80434782608695</v>
      </c>
      <c r="AQ27" s="6">
        <v>-60.10989010989011</v>
      </c>
      <c r="AR27" s="6">
        <v>-50.36363636363636</v>
      </c>
      <c r="AS27" s="6">
        <v>-53.42857142857143</v>
      </c>
      <c r="AT27" s="6">
        <v>-60.31914893617022</v>
      </c>
      <c r="AU27" s="6">
        <v>-61.72043010752689</v>
      </c>
      <c r="AV27" s="6">
        <v>-53.7962962962963</v>
      </c>
      <c r="AW27" s="6">
        <v>-53.94495412844036</v>
      </c>
      <c r="AX27" s="6">
        <v>-66.11111111111111</v>
      </c>
      <c r="AY27" s="6">
        <v>-63.36842105263158</v>
      </c>
      <c r="AZ27" s="6">
        <v>-57.45283018867924</v>
      </c>
      <c r="BA27" s="6">
        <v>-57.66355140186916</v>
      </c>
      <c r="BB27" s="6">
        <v>-67.82608695652173</v>
      </c>
      <c r="BC27" s="6">
        <v>-69.45054945054945</v>
      </c>
    </row>
    <row r="28" ht="15.997499999999997" customHeight="1">
      <c r="A28" s="8" t="s">
        <v>35</v>
      </c>
      <c r="B28" s="8" t="s">
        <v>65</v>
      </c>
      <c r="C28" s="8" t="s">
        <v>42</v>
      </c>
      <c r="D28" s="8" t="s">
        <v>43</v>
      </c>
      <c r="E28" s="8" t="s">
        <v>70</v>
      </c>
      <c r="F28" s="8" t="s">
        <v>39</v>
      </c>
      <c r="G28" s="9">
        <f t="shared" si="0"/>
        <v>166.2</v>
      </c>
      <c r="H28" s="9">
        <f t="shared" si="0"/>
        <v>170.4</v>
      </c>
      <c r="I28" s="9">
        <f t="shared" si="0"/>
        <v>176.7</v>
      </c>
      <c r="J28" s="9">
        <f t="shared" si="0"/>
        <v>177.3</v>
      </c>
      <c r="K28" s="9">
        <f t="shared" si="0"/>
        <v>183.9</v>
      </c>
      <c r="L28" s="9">
        <f t="shared" si="0"/>
        <v>188.5</v>
      </c>
      <c r="M28" s="9">
        <f t="shared" si="0"/>
        <v>182.8</v>
      </c>
      <c r="N28" s="9">
        <f t="shared" si="0"/>
        <v>181.1</v>
      </c>
      <c r="O28" s="9">
        <f t="shared" si="0"/>
        <v>192.3</v>
      </c>
      <c r="P28" s="9">
        <f t="shared" si="0"/>
        <v>197.2</v>
      </c>
      <c r="Q28" s="9">
        <f t="shared" si="0"/>
        <v>206.5</v>
      </c>
      <c r="R28" s="9">
        <f t="shared" si="0"/>
        <v>220.8</v>
      </c>
      <c r="S28" s="9">
        <f t="shared" si="0"/>
        <v>196.6</v>
      </c>
      <c r="T28" s="9">
        <f t="shared" si="0"/>
        <v>201.7</v>
      </c>
      <c r="U28" s="9">
        <f t="shared" si="0"/>
        <v>209.3</v>
      </c>
      <c r="V28" s="9">
        <f t="shared" si="0"/>
        <v>209.8</v>
      </c>
      <c r="W28" s="9">
        <f t="shared" si="0"/>
        <v>217.6</v>
      </c>
      <c r="X28" s="9">
        <f t="shared" si="0"/>
        <v>223.3</v>
      </c>
      <c r="Y28" s="9">
        <f t="shared" si="0"/>
        <v>216.5</v>
      </c>
      <c r="Z28" s="9">
        <f t="shared" si="0"/>
        <v>214.6</v>
      </c>
      <c r="AA28" s="9">
        <f t="shared" si="0"/>
        <v>227.9</v>
      </c>
      <c r="AB28" s="9">
        <f t="shared" si="0"/>
        <v>233.6</v>
      </c>
      <c r="AC28" s="9">
        <f t="shared" si="0"/>
        <v>245</v>
      </c>
      <c r="AD28" s="9">
        <f t="shared" si="0"/>
        <v>261.9</v>
      </c>
      <c r="AE28" s="10"/>
      <c r="AF28" s="9">
        <f t="shared" si="0"/>
        <v>154.459117165539</v>
      </c>
      <c r="AG28" s="9">
        <f t="shared" si="0"/>
        <v>154.397354938639</v>
      </c>
      <c r="AH28" s="9">
        <f t="shared" si="0"/>
        <v>197.010451661068</v>
      </c>
      <c r="AI28" s="9">
        <f t="shared" si="0"/>
        <v>185.823417500512</v>
      </c>
      <c r="AJ28" s="9">
        <f t="shared" si="0"/>
        <v>174.118043718202</v>
      </c>
      <c r="AK28" s="9">
        <f t="shared" si="0"/>
        <v>176.793579569452</v>
      </c>
      <c r="AL28" s="9">
        <f t="shared" si="0"/>
        <v>197.792084726867</v>
      </c>
      <c r="AM28" s="9">
        <f t="shared" si="0"/>
        <v>201.777906304222</v>
      </c>
      <c r="AN28" s="9">
        <f t="shared" si="0"/>
        <v>174.257943314547</v>
      </c>
      <c r="AO28" s="9">
        <f t="shared" si="0"/>
        <v>188.499567557582</v>
      </c>
      <c r="AP28" s="9">
        <f t="shared" si="0"/>
        <v>218.762570499239</v>
      </c>
      <c r="AQ28" s="9">
        <f t="shared" si="0"/>
        <v>236.469118772765</v>
      </c>
      <c r="AR28" s="9">
        <f t="shared" si="0"/>
        <v>182.719951811695</v>
      </c>
      <c r="AS28" s="9">
        <f t="shared" si="0"/>
        <v>182.839151674014</v>
      </c>
      <c r="AT28" s="9">
        <f t="shared" si="0"/>
        <v>233.505412467339</v>
      </c>
      <c r="AU28" s="9">
        <f t="shared" si="0"/>
        <v>219.875314573324</v>
      </c>
      <c r="AV28" s="9">
        <f t="shared" si="0"/>
        <v>206.035303068895</v>
      </c>
      <c r="AW28" s="9">
        <f t="shared" si="0"/>
        <v>209.440300284851</v>
      </c>
      <c r="AX28" s="9">
        <f t="shared" si="0"/>
        <v>234.248420661464</v>
      </c>
      <c r="AY28" s="9">
        <f t="shared" si="0"/>
        <v>238.978343294133</v>
      </c>
      <c r="AZ28" s="9">
        <f t="shared" si="0"/>
        <v>206.404312668464</v>
      </c>
      <c r="BA28" s="9">
        <f t="shared" si="0"/>
        <v>223.301408166864</v>
      </c>
      <c r="BB28" s="9">
        <f t="shared" si="0"/>
        <v>259.545223956313</v>
      </c>
      <c r="BC28" s="9">
        <f t="shared" si="0"/>
        <v>280.478155551788</v>
      </c>
    </row>
    <row r="29" ht="15.997499999999997" customHeight="1">
      <c r="A29" s="5" t="s">
        <v>45</v>
      </c>
      <c r="B29" s="5" t="s">
        <v>45</v>
      </c>
      <c r="C29" s="5" t="s">
        <v>45</v>
      </c>
      <c r="D29" s="5" t="s">
        <v>45</v>
      </c>
      <c r="E29" s="5" t="s">
        <v>45</v>
      </c>
      <c r="F29" s="5" t="s">
        <v>45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7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ht="15.997499999999997" customHeight="1">
      <c r="A30" s="5" t="s">
        <v>35</v>
      </c>
      <c r="B30" s="5" t="s">
        <v>71</v>
      </c>
      <c r="C30" s="5" t="s">
        <v>72</v>
      </c>
      <c r="D30" s="5">
        <v>5000</v>
      </c>
      <c r="E30" s="5" t="s">
        <v>73</v>
      </c>
      <c r="F30" s="5" t="s">
        <v>39</v>
      </c>
      <c r="G30" s="6">
        <v>-420</v>
      </c>
      <c r="H30" s="6">
        <v>-428.8</v>
      </c>
      <c r="I30" s="6">
        <v>-437.8</v>
      </c>
      <c r="J30" s="6">
        <v>-447</v>
      </c>
      <c r="K30" s="6">
        <v>-456.4</v>
      </c>
      <c r="L30" s="6">
        <v>-466</v>
      </c>
      <c r="M30" s="6">
        <v>-475.8</v>
      </c>
      <c r="N30" s="6">
        <v>-485.8</v>
      </c>
      <c r="O30" s="6">
        <v>-496</v>
      </c>
      <c r="P30" s="6">
        <v>-506.4</v>
      </c>
      <c r="Q30" s="6">
        <v>-517</v>
      </c>
      <c r="R30" s="6">
        <v>-527.9</v>
      </c>
      <c r="S30" s="6">
        <v>-539</v>
      </c>
      <c r="T30" s="6">
        <v>-550.3</v>
      </c>
      <c r="U30" s="6">
        <v>-561.8</v>
      </c>
      <c r="V30" s="6">
        <v>-573.6</v>
      </c>
      <c r="W30" s="6">
        <v>-585.7</v>
      </c>
      <c r="X30" s="6">
        <v>-598</v>
      </c>
      <c r="Y30" s="6">
        <v>-610.5</v>
      </c>
      <c r="Z30" s="6">
        <v>-623.4</v>
      </c>
      <c r="AA30" s="6">
        <v>-636.4</v>
      </c>
      <c r="AB30" s="6">
        <v>-649.8</v>
      </c>
      <c r="AC30" s="6">
        <v>-663.5</v>
      </c>
      <c r="AD30" s="6">
        <v>-677.4</v>
      </c>
      <c r="AE30" s="7"/>
      <c r="AF30" s="6">
        <v>-392.5233644859813</v>
      </c>
      <c r="AG30" s="6">
        <v>-397.037037037037</v>
      </c>
      <c r="AH30" s="6">
        <v>-481.0989010989011</v>
      </c>
      <c r="AI30" s="6">
        <v>-496.66666666666663</v>
      </c>
      <c r="AJ30" s="6">
        <v>-434.66666666666663</v>
      </c>
      <c r="AK30" s="6">
        <v>-439.62264150943395</v>
      </c>
      <c r="AL30" s="6">
        <v>-511.6129032258065</v>
      </c>
      <c r="AM30" s="6">
        <v>-528.0434782608695</v>
      </c>
      <c r="AN30" s="6">
        <v>-455.045871559633</v>
      </c>
      <c r="AO30" s="6">
        <v>-460.3636363636363</v>
      </c>
      <c r="AP30" s="6">
        <v>-544.2105263157895</v>
      </c>
      <c r="AQ30" s="6">
        <v>-561.5957446808511</v>
      </c>
      <c r="AR30" s="6">
        <v>-503.7383177570093</v>
      </c>
      <c r="AS30" s="6">
        <v>-509.53703703703695</v>
      </c>
      <c r="AT30" s="6">
        <v>-617.3626373626373</v>
      </c>
      <c r="AU30" s="6">
        <v>-637.3333333333334</v>
      </c>
      <c r="AV30" s="6">
        <v>-557.8095238095239</v>
      </c>
      <c r="AW30" s="6">
        <v>-564.1509433962264</v>
      </c>
      <c r="AX30" s="6">
        <v>-656.4516129032259</v>
      </c>
      <c r="AY30" s="6">
        <v>-677.6086956521739</v>
      </c>
      <c r="AZ30" s="6">
        <v>-583.8532110091743</v>
      </c>
      <c r="BA30" s="6">
        <v>-590.7272727272726</v>
      </c>
      <c r="BB30" s="6">
        <v>-698.421052631579</v>
      </c>
      <c r="BC30" s="6">
        <v>-720.6382978723404</v>
      </c>
    </row>
    <row r="31" ht="15.997499999999997" customHeight="1">
      <c r="A31" s="5" t="s">
        <v>35</v>
      </c>
      <c r="B31" s="5" t="s">
        <v>71</v>
      </c>
      <c r="C31" s="5" t="s">
        <v>72</v>
      </c>
      <c r="D31" s="5">
        <v>5010</v>
      </c>
      <c r="E31" s="5" t="s">
        <v>74</v>
      </c>
      <c r="F31" s="5" t="s">
        <v>39</v>
      </c>
      <c r="G31" s="6">
        <v>-138</v>
      </c>
      <c r="H31" s="6">
        <v>-140.9</v>
      </c>
      <c r="I31" s="6">
        <v>-143.9</v>
      </c>
      <c r="J31" s="6">
        <v>-146.9</v>
      </c>
      <c r="K31" s="6">
        <v>-150</v>
      </c>
      <c r="L31" s="6">
        <v>-153.1</v>
      </c>
      <c r="M31" s="6">
        <v>-156.3</v>
      </c>
      <c r="N31" s="6">
        <v>-159.6</v>
      </c>
      <c r="O31" s="6">
        <v>-163</v>
      </c>
      <c r="P31" s="6">
        <v>-166.4</v>
      </c>
      <c r="Q31" s="6">
        <v>-169.9</v>
      </c>
      <c r="R31" s="6">
        <v>-173.4</v>
      </c>
      <c r="S31" s="6">
        <v>-177.1</v>
      </c>
      <c r="T31" s="6">
        <v>-180.8</v>
      </c>
      <c r="U31" s="6">
        <v>-184.6</v>
      </c>
      <c r="V31" s="6">
        <v>-188.5</v>
      </c>
      <c r="W31" s="6">
        <v>-192.4</v>
      </c>
      <c r="X31" s="6">
        <v>-196.5</v>
      </c>
      <c r="Y31" s="6">
        <v>-200.6</v>
      </c>
      <c r="Z31" s="6">
        <v>-204.8</v>
      </c>
      <c r="AA31" s="6">
        <v>-209.1</v>
      </c>
      <c r="AB31" s="6">
        <v>-213.5</v>
      </c>
      <c r="AC31" s="6">
        <v>-218</v>
      </c>
      <c r="AD31" s="6">
        <v>-222.6</v>
      </c>
      <c r="AE31" s="7"/>
      <c r="AF31" s="6">
        <v>-127.77777777777777</v>
      </c>
      <c r="AG31" s="6">
        <v>-129.26605504587155</v>
      </c>
      <c r="AH31" s="6">
        <v>-159.88888888888889</v>
      </c>
      <c r="AI31" s="6">
        <v>-154.63157894736844</v>
      </c>
      <c r="AJ31" s="6">
        <v>-141.50943396226415</v>
      </c>
      <c r="AK31" s="6">
        <v>-143.0841121495327</v>
      </c>
      <c r="AL31" s="6">
        <v>-169.8913043478261</v>
      </c>
      <c r="AM31" s="6">
        <v>-175.38461538461536</v>
      </c>
      <c r="AN31" s="6">
        <v>-148.18181818181816</v>
      </c>
      <c r="AO31" s="6">
        <v>-158.47619047619048</v>
      </c>
      <c r="AP31" s="6">
        <v>-180.74468085106383</v>
      </c>
      <c r="AQ31" s="6">
        <v>-186.45161290322582</v>
      </c>
      <c r="AR31" s="6">
        <v>-163.98148148148147</v>
      </c>
      <c r="AS31" s="6">
        <v>-165.87155963302752</v>
      </c>
      <c r="AT31" s="6">
        <v>-205.1111111111111</v>
      </c>
      <c r="AU31" s="6">
        <v>-198.42105263157896</v>
      </c>
      <c r="AV31" s="6">
        <v>-181.50943396226415</v>
      </c>
      <c r="AW31" s="6">
        <v>-183.6448598130841</v>
      </c>
      <c r="AX31" s="6">
        <v>-218.04347826086956</v>
      </c>
      <c r="AY31" s="6">
        <v>-225.05494505494505</v>
      </c>
      <c r="AZ31" s="6">
        <v>-190.09090909090907</v>
      </c>
      <c r="BA31" s="6">
        <v>-203.33333333333331</v>
      </c>
      <c r="BB31" s="6">
        <v>-231.91489361702128</v>
      </c>
      <c r="BC31" s="6">
        <v>-239.35483870967744</v>
      </c>
    </row>
    <row r="32" ht="15.997499999999997" customHeight="1">
      <c r="A32" s="5" t="s">
        <v>35</v>
      </c>
      <c r="B32" s="5" t="s">
        <v>71</v>
      </c>
      <c r="C32" s="5" t="s">
        <v>72</v>
      </c>
      <c r="D32" s="5">
        <v>5100</v>
      </c>
      <c r="E32" s="5" t="s">
        <v>75</v>
      </c>
      <c r="F32" s="5" t="s">
        <v>39</v>
      </c>
      <c r="G32" s="6">
        <v>-172</v>
      </c>
      <c r="H32" s="6">
        <v>-175.6</v>
      </c>
      <c r="I32" s="6">
        <v>-179.3</v>
      </c>
      <c r="J32" s="6">
        <v>-183.1</v>
      </c>
      <c r="K32" s="6">
        <v>-186.9</v>
      </c>
      <c r="L32" s="6">
        <v>-190.8</v>
      </c>
      <c r="M32" s="6">
        <v>-194.8</v>
      </c>
      <c r="N32" s="6">
        <v>-198.9</v>
      </c>
      <c r="O32" s="6">
        <v>-203.1</v>
      </c>
      <c r="P32" s="6">
        <v>-207.4</v>
      </c>
      <c r="Q32" s="6">
        <v>-211.7</v>
      </c>
      <c r="R32" s="6">
        <v>-216.2</v>
      </c>
      <c r="S32" s="6">
        <v>-220.7</v>
      </c>
      <c r="T32" s="6">
        <v>-225.4</v>
      </c>
      <c r="U32" s="6">
        <v>-230.1</v>
      </c>
      <c r="V32" s="6">
        <v>-234.9</v>
      </c>
      <c r="W32" s="6">
        <v>-239.9</v>
      </c>
      <c r="X32" s="6">
        <v>-244.9</v>
      </c>
      <c r="Y32" s="6">
        <v>-250</v>
      </c>
      <c r="Z32" s="6">
        <v>-255.3</v>
      </c>
      <c r="AA32" s="6">
        <v>-260.6</v>
      </c>
      <c r="AB32" s="6">
        <v>-266.1</v>
      </c>
      <c r="AC32" s="6">
        <v>-271.7</v>
      </c>
      <c r="AD32" s="6">
        <v>-277.4</v>
      </c>
      <c r="AE32" s="7"/>
      <c r="AF32" s="6">
        <v>-157.79816513761466</v>
      </c>
      <c r="AG32" s="6">
        <v>-159.63636363636363</v>
      </c>
      <c r="AH32" s="6">
        <v>-188.73684210526318</v>
      </c>
      <c r="AI32" s="6">
        <v>-194.7872340425532</v>
      </c>
      <c r="AJ32" s="6">
        <v>-174.6728971962617</v>
      </c>
      <c r="AK32" s="6">
        <v>-176.66666666666666</v>
      </c>
      <c r="AL32" s="6">
        <v>-214.06593406593407</v>
      </c>
      <c r="AM32" s="6">
        <v>-221</v>
      </c>
      <c r="AN32" s="6">
        <v>-193.42857142857142</v>
      </c>
      <c r="AO32" s="6">
        <v>-195.66037735849056</v>
      </c>
      <c r="AP32" s="6">
        <v>-227.63440860215053</v>
      </c>
      <c r="AQ32" s="6">
        <v>-234.99999999999997</v>
      </c>
      <c r="AR32" s="6">
        <v>-202.47706422018345</v>
      </c>
      <c r="AS32" s="6">
        <v>-204.9090909090909</v>
      </c>
      <c r="AT32" s="6">
        <v>-242.21052631578948</v>
      </c>
      <c r="AU32" s="6">
        <v>-249.8936170212766</v>
      </c>
      <c r="AV32" s="6">
        <v>-224.2056074766355</v>
      </c>
      <c r="AW32" s="6">
        <v>-226.75925925925924</v>
      </c>
      <c r="AX32" s="6">
        <v>-274.72527472527474</v>
      </c>
      <c r="AY32" s="6">
        <v>-283.6666666666667</v>
      </c>
      <c r="AZ32" s="6">
        <v>-248.1904761904762</v>
      </c>
      <c r="BA32" s="6">
        <v>-251.03773584905662</v>
      </c>
      <c r="BB32" s="6">
        <v>-292.15053763440864</v>
      </c>
      <c r="BC32" s="6">
        <v>-301.52173913043475</v>
      </c>
    </row>
    <row r="33" ht="15.997499999999997" customHeight="1">
      <c r="A33" s="5" t="s">
        <v>35</v>
      </c>
      <c r="B33" s="5" t="s">
        <v>71</v>
      </c>
      <c r="C33" s="5" t="s">
        <v>72</v>
      </c>
      <c r="D33" s="5">
        <v>5110</v>
      </c>
      <c r="E33" s="5" t="s">
        <v>76</v>
      </c>
      <c r="F33" s="5" t="s">
        <v>39</v>
      </c>
      <c r="G33" s="6">
        <v>-74</v>
      </c>
      <c r="H33" s="6">
        <v>-75.6</v>
      </c>
      <c r="I33" s="6">
        <v>-77.1</v>
      </c>
      <c r="J33" s="6">
        <v>-78.8</v>
      </c>
      <c r="K33" s="6">
        <v>-80.4</v>
      </c>
      <c r="L33" s="6">
        <v>-82.1</v>
      </c>
      <c r="M33" s="6">
        <v>-83.8</v>
      </c>
      <c r="N33" s="6">
        <v>-85.6</v>
      </c>
      <c r="O33" s="6">
        <v>-87.4</v>
      </c>
      <c r="P33" s="6">
        <v>-89.2</v>
      </c>
      <c r="Q33" s="6">
        <v>-91.1</v>
      </c>
      <c r="R33" s="6">
        <v>-93</v>
      </c>
      <c r="S33" s="6">
        <v>-95</v>
      </c>
      <c r="T33" s="6">
        <v>-97</v>
      </c>
      <c r="U33" s="6">
        <v>-99</v>
      </c>
      <c r="V33" s="6">
        <v>-101.1</v>
      </c>
      <c r="W33" s="6">
        <v>-103.2</v>
      </c>
      <c r="X33" s="6">
        <v>-105.4</v>
      </c>
      <c r="Y33" s="6">
        <v>-107.6</v>
      </c>
      <c r="Z33" s="6">
        <v>-109.8</v>
      </c>
      <c r="AA33" s="6">
        <v>-112.1</v>
      </c>
      <c r="AB33" s="6">
        <v>-114.5</v>
      </c>
      <c r="AC33" s="6">
        <v>-116.9</v>
      </c>
      <c r="AD33" s="6">
        <v>-119.4</v>
      </c>
      <c r="AE33" s="7"/>
      <c r="AF33" s="6">
        <v>-67.27272727272727</v>
      </c>
      <c r="AG33" s="6">
        <v>-71.99999999999999</v>
      </c>
      <c r="AH33" s="6">
        <v>-82.02127659574468</v>
      </c>
      <c r="AI33" s="6">
        <v>-84.73118279569893</v>
      </c>
      <c r="AJ33" s="6">
        <v>-74.44444444444444</v>
      </c>
      <c r="AK33" s="6">
        <v>-75.32110091743118</v>
      </c>
      <c r="AL33" s="6">
        <v>-93.1111111111111</v>
      </c>
      <c r="AM33" s="6">
        <v>-90.10526315789474</v>
      </c>
      <c r="AN33" s="6">
        <v>-82.45283018867924</v>
      </c>
      <c r="AO33" s="6">
        <v>-83.3644859813084</v>
      </c>
      <c r="AP33" s="6">
        <v>-99.02173913043477</v>
      </c>
      <c r="AQ33" s="6">
        <v>-102.19780219780219</v>
      </c>
      <c r="AR33" s="6">
        <v>-86.36363636363636</v>
      </c>
      <c r="AS33" s="6">
        <v>-92.38095238095238</v>
      </c>
      <c r="AT33" s="6">
        <v>-105.31914893617022</v>
      </c>
      <c r="AU33" s="6">
        <v>-108.70967741935485</v>
      </c>
      <c r="AV33" s="6">
        <v>-95.55555555555556</v>
      </c>
      <c r="AW33" s="6">
        <v>-96.69724770642202</v>
      </c>
      <c r="AX33" s="6">
        <v>-119.55555555555554</v>
      </c>
      <c r="AY33" s="6">
        <v>-115.57894736842105</v>
      </c>
      <c r="AZ33" s="6">
        <v>-105.75471698113206</v>
      </c>
      <c r="BA33" s="6">
        <v>-107.00934579439252</v>
      </c>
      <c r="BB33" s="6">
        <v>-127.06521739130434</v>
      </c>
      <c r="BC33" s="6">
        <v>-131.2087912087912</v>
      </c>
    </row>
    <row r="34" ht="15.997499999999997" customHeight="1">
      <c r="A34" s="5" t="s">
        <v>35</v>
      </c>
      <c r="B34" s="5" t="s">
        <v>71</v>
      </c>
      <c r="C34" s="5" t="s">
        <v>72</v>
      </c>
      <c r="D34" s="5">
        <v>5120</v>
      </c>
      <c r="E34" s="5" t="s">
        <v>77</v>
      </c>
      <c r="F34" s="5" t="s">
        <v>39</v>
      </c>
      <c r="G34" s="6">
        <v>-31</v>
      </c>
      <c r="H34" s="6">
        <v>-31.7</v>
      </c>
      <c r="I34" s="6">
        <v>-32.3</v>
      </c>
      <c r="J34" s="6">
        <v>-33</v>
      </c>
      <c r="K34" s="6">
        <v>-33.7</v>
      </c>
      <c r="L34" s="6">
        <v>-34.4</v>
      </c>
      <c r="M34" s="6">
        <v>-35.1</v>
      </c>
      <c r="N34" s="6">
        <v>-35.9</v>
      </c>
      <c r="O34" s="6">
        <v>-36.6</v>
      </c>
      <c r="P34" s="6">
        <v>-37.4</v>
      </c>
      <c r="Q34" s="6">
        <v>-38.2</v>
      </c>
      <c r="R34" s="6">
        <v>-39</v>
      </c>
      <c r="S34" s="6">
        <v>-39.8</v>
      </c>
      <c r="T34" s="6">
        <v>-40.6</v>
      </c>
      <c r="U34" s="6">
        <v>-41.5</v>
      </c>
      <c r="V34" s="6">
        <v>-42.3</v>
      </c>
      <c r="W34" s="6">
        <v>-43.2</v>
      </c>
      <c r="X34" s="6">
        <v>-44.1</v>
      </c>
      <c r="Y34" s="6">
        <v>-45.1</v>
      </c>
      <c r="Z34" s="6">
        <v>-46</v>
      </c>
      <c r="AA34" s="6">
        <v>-47</v>
      </c>
      <c r="AB34" s="6">
        <v>-48</v>
      </c>
      <c r="AC34" s="6">
        <v>-49</v>
      </c>
      <c r="AD34" s="6">
        <v>-50</v>
      </c>
      <c r="AE34" s="7"/>
      <c r="AF34" s="6">
        <v>-29.523809523809522</v>
      </c>
      <c r="AG34" s="6">
        <v>-29.905660377358487</v>
      </c>
      <c r="AH34" s="6">
        <v>-34.73118279569892</v>
      </c>
      <c r="AI34" s="6">
        <v>-35.869565217391305</v>
      </c>
      <c r="AJ34" s="6">
        <v>-30.91743119266055</v>
      </c>
      <c r="AK34" s="6">
        <v>-31.27272727272727</v>
      </c>
      <c r="AL34" s="6">
        <v>-36.94736842105264</v>
      </c>
      <c r="AM34" s="6">
        <v>-38.191489361702125</v>
      </c>
      <c r="AN34" s="6">
        <v>-34.205607476635514</v>
      </c>
      <c r="AO34" s="6">
        <v>-34.629629629629626</v>
      </c>
      <c r="AP34" s="6">
        <v>-41.97802197802198</v>
      </c>
      <c r="AQ34" s="6">
        <v>-43.333333333333336</v>
      </c>
      <c r="AR34" s="6">
        <v>-37.9047619047619</v>
      </c>
      <c r="AS34" s="6">
        <v>-38.30188679245283</v>
      </c>
      <c r="AT34" s="6">
        <v>-44.623655913978496</v>
      </c>
      <c r="AU34" s="6">
        <v>-45.97826086956521</v>
      </c>
      <c r="AV34" s="6">
        <v>-39.63302752293578</v>
      </c>
      <c r="AW34" s="6">
        <v>-40.090909090909086</v>
      </c>
      <c r="AX34" s="6">
        <v>-47.47368421052632</v>
      </c>
      <c r="AY34" s="6">
        <v>-48.93617021276596</v>
      </c>
      <c r="AZ34" s="6">
        <v>-43.92523364485981</v>
      </c>
      <c r="BA34" s="6">
        <v>-44.44444444444444</v>
      </c>
      <c r="BB34" s="6">
        <v>-53.84615384615385</v>
      </c>
      <c r="BC34" s="6">
        <v>-55.55555555555556</v>
      </c>
    </row>
    <row r="35" ht="15.997499999999997" customHeight="1">
      <c r="A35" s="8" t="s">
        <v>35</v>
      </c>
      <c r="B35" s="8" t="s">
        <v>71</v>
      </c>
      <c r="C35" s="8" t="s">
        <v>42</v>
      </c>
      <c r="D35" s="8" t="s">
        <v>43</v>
      </c>
      <c r="E35" s="8" t="s">
        <v>78</v>
      </c>
      <c r="F35" s="8" t="s">
        <v>39</v>
      </c>
      <c r="G35" s="9">
        <f t="shared" si="2"/>
        <v>-835</v>
      </c>
      <c r="H35" s="9">
        <f t="shared" si="2"/>
        <v>-852.6</v>
      </c>
      <c r="I35" s="9">
        <f t="shared" si="2"/>
        <v>-870.4</v>
      </c>
      <c r="J35" s="9">
        <f t="shared" si="2"/>
        <v>-888.8</v>
      </c>
      <c r="K35" s="9">
        <f t="shared" si="2"/>
        <v>-907.4</v>
      </c>
      <c r="L35" s="9">
        <f t="shared" si="2"/>
        <v>-926.4</v>
      </c>
      <c r="M35" s="9">
        <f t="shared" si="2"/>
        <v>-945.8</v>
      </c>
      <c r="N35" s="9">
        <f t="shared" si="2"/>
        <v>-965.8</v>
      </c>
      <c r="O35" s="9">
        <f t="shared" si="2"/>
        <v>-986.1</v>
      </c>
      <c r="P35" s="9">
        <f t="shared" si="2"/>
        <v>-1006.8</v>
      </c>
      <c r="Q35" s="9">
        <f t="shared" si="2"/>
        <v>-1027.9</v>
      </c>
      <c r="R35" s="9">
        <f t="shared" si="2"/>
        <v>-1049.5</v>
      </c>
      <c r="S35" s="9">
        <f t="shared" si="2"/>
        <v>-1071.6</v>
      </c>
      <c r="T35" s="9">
        <f t="shared" si="2"/>
        <v>-1094.1</v>
      </c>
      <c r="U35" s="9">
        <f t="shared" si="2"/>
        <v>-1117</v>
      </c>
      <c r="V35" s="9">
        <f t="shared" si="2"/>
        <v>-1140.4</v>
      </c>
      <c r="W35" s="9">
        <f t="shared" si="2"/>
        <v>-1164.4</v>
      </c>
      <c r="X35" s="9">
        <f t="shared" si="2"/>
        <v>-1188.9</v>
      </c>
      <c r="Y35" s="9">
        <f t="shared" si="2"/>
        <v>-1213.8</v>
      </c>
      <c r="Z35" s="9">
        <f t="shared" si="2"/>
        <v>-1239.3</v>
      </c>
      <c r="AA35" s="9">
        <f t="shared" si="2"/>
        <v>-1265.2</v>
      </c>
      <c r="AB35" s="9">
        <f t="shared" si="2"/>
        <v>-1291.9</v>
      </c>
      <c r="AC35" s="9">
        <f t="shared" si="2"/>
        <v>-1319.1</v>
      </c>
      <c r="AD35" s="9">
        <f t="shared" si="2"/>
        <v>-1346.8</v>
      </c>
      <c r="AE35" s="10"/>
      <c r="AF35" s="9">
        <f t="shared" si="2"/>
        <v>-774.89584419791</v>
      </c>
      <c r="AG35" s="9">
        <f t="shared" si="2"/>
        <v>-787.845116096631</v>
      </c>
      <c r="AH35" s="9">
        <f t="shared" si="2"/>
        <v>-946.477091484497</v>
      </c>
      <c r="AI35" s="9">
        <f t="shared" si="2"/>
        <v>-966.686227669678</v>
      </c>
      <c r="AJ35" s="9">
        <f t="shared" si="2"/>
        <v>-856.210873462297</v>
      </c>
      <c r="AK35" s="9">
        <f t="shared" si="2"/>
        <v>-865.967248515792</v>
      </c>
      <c r="AL35" s="9">
        <f t="shared" si="2"/>
        <v>-1025.62862117173</v>
      </c>
      <c r="AM35" s="9">
        <f t="shared" si="2"/>
        <v>-1052.72484616508</v>
      </c>
      <c r="AN35" s="9">
        <f t="shared" si="2"/>
        <v>-913.314698835337</v>
      </c>
      <c r="AO35" s="9">
        <f t="shared" si="2"/>
        <v>-932.494319809255</v>
      </c>
      <c r="AP35" s="9">
        <f t="shared" si="2"/>
        <v>-1093.58937687746</v>
      </c>
      <c r="AQ35" s="9">
        <f t="shared" si="2"/>
        <v>-1128.57849311521</v>
      </c>
      <c r="AR35" s="9">
        <f t="shared" si="2"/>
        <v>-994.465261727073</v>
      </c>
      <c r="AS35" s="9">
        <f t="shared" si="2"/>
        <v>-1011.00052675256</v>
      </c>
      <c r="AT35" s="9">
        <f t="shared" si="2"/>
        <v>-1214.62707963969</v>
      </c>
      <c r="AU35" s="9">
        <f t="shared" si="2"/>
        <v>-1240.33594127511</v>
      </c>
      <c r="AV35" s="9">
        <f t="shared" si="2"/>
        <v>-1098.71314832691</v>
      </c>
      <c r="AW35" s="9">
        <f t="shared" si="2"/>
        <v>-1111.3432192659</v>
      </c>
      <c r="AX35" s="9">
        <f t="shared" si="2"/>
        <v>-1316.24960565545</v>
      </c>
      <c r="AY35" s="9">
        <f t="shared" si="2"/>
        <v>-1350.84542495497</v>
      </c>
      <c r="AZ35" s="9">
        <f t="shared" si="2"/>
        <v>-1171.81454691655</v>
      </c>
      <c r="BA35" s="9">
        <f t="shared" si="2"/>
        <v>-1196.5521321485</v>
      </c>
      <c r="BB35" s="9">
        <f t="shared" si="2"/>
        <v>-1403.39785512047</v>
      </c>
      <c r="BC35" s="9">
        <f t="shared" si="2"/>
        <v>-1448.2792224768</v>
      </c>
    </row>
    <row r="36" ht="15.997499999999997" customHeight="1">
      <c r="A36" s="5" t="s">
        <v>45</v>
      </c>
      <c r="B36" s="5" t="s">
        <v>45</v>
      </c>
      <c r="C36" s="5" t="s">
        <v>45</v>
      </c>
      <c r="D36" s="5" t="s">
        <v>45</v>
      </c>
      <c r="E36" s="5" t="s">
        <v>45</v>
      </c>
      <c r="F36" s="5" t="s">
        <v>45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7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</row>
    <row r="37" ht="15.997499999999997" customHeight="1">
      <c r="A37" s="5" t="s">
        <v>35</v>
      </c>
      <c r="B37" s="5" t="s">
        <v>79</v>
      </c>
      <c r="C37" s="5" t="s">
        <v>80</v>
      </c>
      <c r="D37" s="5">
        <v>5300</v>
      </c>
      <c r="E37" s="5" t="s">
        <v>81</v>
      </c>
      <c r="F37" s="5" t="s">
        <v>39</v>
      </c>
      <c r="G37" s="6">
        <v>-218</v>
      </c>
      <c r="H37" s="6">
        <v>-220.6</v>
      </c>
      <c r="I37" s="6">
        <v>-223.3</v>
      </c>
      <c r="J37" s="6">
        <v>-225.9</v>
      </c>
      <c r="K37" s="6">
        <v>-228.7</v>
      </c>
      <c r="L37" s="6">
        <v>-231.4</v>
      </c>
      <c r="M37" s="6">
        <v>-234.2</v>
      </c>
      <c r="N37" s="6">
        <v>-237</v>
      </c>
      <c r="O37" s="6">
        <v>-239.8</v>
      </c>
      <c r="P37" s="6">
        <v>-242.7</v>
      </c>
      <c r="Q37" s="6">
        <v>-245.6</v>
      </c>
      <c r="R37" s="6">
        <v>-248.6</v>
      </c>
      <c r="S37" s="6">
        <v>-251.5</v>
      </c>
      <c r="T37" s="6">
        <v>-254.6</v>
      </c>
      <c r="U37" s="6">
        <v>-257.6</v>
      </c>
      <c r="V37" s="6">
        <v>-260.7</v>
      </c>
      <c r="W37" s="6">
        <v>-263.8</v>
      </c>
      <c r="X37" s="6">
        <v>-267</v>
      </c>
      <c r="Y37" s="6">
        <v>-270.2</v>
      </c>
      <c r="Z37" s="6">
        <v>-273.5</v>
      </c>
      <c r="AA37" s="6">
        <v>-276.7</v>
      </c>
      <c r="AB37" s="6">
        <v>-280.1</v>
      </c>
      <c r="AC37" s="6">
        <v>-283.4</v>
      </c>
      <c r="AD37" s="6">
        <v>-286.8</v>
      </c>
      <c r="AE37" s="7"/>
      <c r="AF37" s="6">
        <v>-201.85185185185185</v>
      </c>
      <c r="AG37" s="6">
        <v>-202.38532110091742</v>
      </c>
      <c r="AH37" s="6">
        <v>-248.11111111111111</v>
      </c>
      <c r="AI37" s="6">
        <v>-237.78947368421055</v>
      </c>
      <c r="AJ37" s="6">
        <v>-215.75471698113205</v>
      </c>
      <c r="AK37" s="6">
        <v>-216.26168224299064</v>
      </c>
      <c r="AL37" s="6">
        <v>-254.56521739130432</v>
      </c>
      <c r="AM37" s="6">
        <v>-260.4395604395604</v>
      </c>
      <c r="AN37" s="6">
        <v>-218</v>
      </c>
      <c r="AO37" s="6">
        <v>-231.1428571428571</v>
      </c>
      <c r="AP37" s="6">
        <v>-261.27659574468083</v>
      </c>
      <c r="AQ37" s="6">
        <v>-267.31182795698925</v>
      </c>
      <c r="AR37" s="6">
        <v>-232.87037037037035</v>
      </c>
      <c r="AS37" s="6">
        <v>-233.57798165137612</v>
      </c>
      <c r="AT37" s="6">
        <v>-286.22222222222223</v>
      </c>
      <c r="AU37" s="6">
        <v>-274.42105263157896</v>
      </c>
      <c r="AV37" s="6">
        <v>-248.8679245283019</v>
      </c>
      <c r="AW37" s="6">
        <v>-249.5327102803738</v>
      </c>
      <c r="AX37" s="6">
        <v>-293.695652173913</v>
      </c>
      <c r="AY37" s="6">
        <v>-300.5494505494505</v>
      </c>
      <c r="AZ37" s="6">
        <v>-251.5454545454545</v>
      </c>
      <c r="BA37" s="6">
        <v>-266.76190476190476</v>
      </c>
      <c r="BB37" s="6">
        <v>-301.48936170212767</v>
      </c>
      <c r="BC37" s="6">
        <v>-308.3870967741936</v>
      </c>
    </row>
    <row r="38" ht="15.997499999999997" customHeight="1">
      <c r="A38" s="5" t="s">
        <v>35</v>
      </c>
      <c r="B38" s="5" t="s">
        <v>79</v>
      </c>
      <c r="C38" s="5" t="s">
        <v>80</v>
      </c>
      <c r="D38" s="5">
        <v>5310</v>
      </c>
      <c r="E38" s="5" t="s">
        <v>82</v>
      </c>
      <c r="F38" s="5" t="s">
        <v>39</v>
      </c>
      <c r="G38" s="6">
        <v>-96</v>
      </c>
      <c r="H38" s="6">
        <v>-97.2</v>
      </c>
      <c r="I38" s="6">
        <v>-98.3</v>
      </c>
      <c r="J38" s="6">
        <v>-99.5</v>
      </c>
      <c r="K38" s="6">
        <v>-100.7</v>
      </c>
      <c r="L38" s="6">
        <v>-101.9</v>
      </c>
      <c r="M38" s="6">
        <v>-103.1</v>
      </c>
      <c r="N38" s="6">
        <v>-104.4</v>
      </c>
      <c r="O38" s="6">
        <v>-105.6</v>
      </c>
      <c r="P38" s="6">
        <v>-106.9</v>
      </c>
      <c r="Q38" s="6">
        <v>-108.2</v>
      </c>
      <c r="R38" s="6">
        <v>-109.5</v>
      </c>
      <c r="S38" s="6">
        <v>-110.8</v>
      </c>
      <c r="T38" s="6">
        <v>-112.1</v>
      </c>
      <c r="U38" s="6">
        <v>-113.4</v>
      </c>
      <c r="V38" s="6">
        <v>-114.8</v>
      </c>
      <c r="W38" s="6">
        <v>-116.2</v>
      </c>
      <c r="X38" s="6">
        <v>-117.6</v>
      </c>
      <c r="Y38" s="6">
        <v>-119</v>
      </c>
      <c r="Z38" s="6">
        <v>-120.4</v>
      </c>
      <c r="AA38" s="6">
        <v>-121.9</v>
      </c>
      <c r="AB38" s="6">
        <v>-123.3</v>
      </c>
      <c r="AC38" s="6">
        <v>-124.8</v>
      </c>
      <c r="AD38" s="6">
        <v>-126.3</v>
      </c>
      <c r="AE38" s="7"/>
      <c r="AF38" s="6">
        <v>-88.07339449541284</v>
      </c>
      <c r="AG38" s="6">
        <v>-88.36363636363636</v>
      </c>
      <c r="AH38" s="6">
        <v>-103.47368421052632</v>
      </c>
      <c r="AI38" s="6">
        <v>-105.85106382978724</v>
      </c>
      <c r="AJ38" s="6">
        <v>-94.11214953271028</v>
      </c>
      <c r="AK38" s="6">
        <v>-94.35185185185185</v>
      </c>
      <c r="AL38" s="6">
        <v>-113.29670329670328</v>
      </c>
      <c r="AM38" s="6">
        <v>-116</v>
      </c>
      <c r="AN38" s="6">
        <v>-100.57142857142856</v>
      </c>
      <c r="AO38" s="6">
        <v>-100.84905660377359</v>
      </c>
      <c r="AP38" s="6">
        <v>-116.34408602150539</v>
      </c>
      <c r="AQ38" s="6">
        <v>-119.02173913043478</v>
      </c>
      <c r="AR38" s="6">
        <v>-101.65137614678898</v>
      </c>
      <c r="AS38" s="6">
        <v>-101.90909090909089</v>
      </c>
      <c r="AT38" s="6">
        <v>-119.36842105263159</v>
      </c>
      <c r="AU38" s="6">
        <v>-122.12765957446808</v>
      </c>
      <c r="AV38" s="6">
        <v>-108.59813084112149</v>
      </c>
      <c r="AW38" s="6">
        <v>-108.88888888888887</v>
      </c>
      <c r="AX38" s="6">
        <v>-130.76923076923077</v>
      </c>
      <c r="AY38" s="6">
        <v>-133.77777777777777</v>
      </c>
      <c r="AZ38" s="6">
        <v>-116.0952380952381</v>
      </c>
      <c r="BA38" s="6">
        <v>-116.32075471698113</v>
      </c>
      <c r="BB38" s="6">
        <v>-134.19354838709677</v>
      </c>
      <c r="BC38" s="6">
        <v>-137.28260869565216</v>
      </c>
    </row>
    <row r="39" ht="15.997499999999997" customHeight="1">
      <c r="A39" s="5" t="s">
        <v>35</v>
      </c>
      <c r="B39" s="5" t="s">
        <v>79</v>
      </c>
      <c r="C39" s="5" t="s">
        <v>80</v>
      </c>
      <c r="D39" s="5">
        <v>5320</v>
      </c>
      <c r="E39" s="5" t="s">
        <v>83</v>
      </c>
      <c r="F39" s="5" t="s">
        <v>39</v>
      </c>
      <c r="G39" s="6">
        <v>-34</v>
      </c>
      <c r="H39" s="6">
        <v>-34.4</v>
      </c>
      <c r="I39" s="6">
        <v>-34.8</v>
      </c>
      <c r="J39" s="6">
        <v>-35.2</v>
      </c>
      <c r="K39" s="6">
        <v>-35.7</v>
      </c>
      <c r="L39" s="6">
        <v>-36.1</v>
      </c>
      <c r="M39" s="6">
        <v>-36.5</v>
      </c>
      <c r="N39" s="6">
        <v>-37</v>
      </c>
      <c r="O39" s="6">
        <v>-37.4</v>
      </c>
      <c r="P39" s="6">
        <v>-37.9</v>
      </c>
      <c r="Q39" s="6">
        <v>-38.3</v>
      </c>
      <c r="R39" s="6">
        <v>-38.8</v>
      </c>
      <c r="S39" s="6">
        <v>-39.2</v>
      </c>
      <c r="T39" s="6">
        <v>-39.7</v>
      </c>
      <c r="U39" s="6">
        <v>-40.2</v>
      </c>
      <c r="V39" s="6">
        <v>-40.7</v>
      </c>
      <c r="W39" s="6">
        <v>-41.1</v>
      </c>
      <c r="X39" s="6">
        <v>-41.6</v>
      </c>
      <c r="Y39" s="6">
        <v>-42.1</v>
      </c>
      <c r="Z39" s="6">
        <v>-42.6</v>
      </c>
      <c r="AA39" s="6">
        <v>-43.2</v>
      </c>
      <c r="AB39" s="6">
        <v>-43.7</v>
      </c>
      <c r="AC39" s="6">
        <v>-44.2</v>
      </c>
      <c r="AD39" s="6">
        <v>-44.7</v>
      </c>
      <c r="AE39" s="7"/>
      <c r="AF39" s="6">
        <v>-30.909090909090907</v>
      </c>
      <c r="AG39" s="6">
        <v>-32.76190476190476</v>
      </c>
      <c r="AH39" s="6">
        <v>-37.02127659574468</v>
      </c>
      <c r="AI39" s="6">
        <v>-37.84946236559141</v>
      </c>
      <c r="AJ39" s="6">
        <v>-33.05555555555556</v>
      </c>
      <c r="AK39" s="6">
        <v>-33.11926605504587</v>
      </c>
      <c r="AL39" s="6">
        <v>-40.55555555555556</v>
      </c>
      <c r="AM39" s="6">
        <v>-38.94736842105263</v>
      </c>
      <c r="AN39" s="6">
        <v>-35.283018867924525</v>
      </c>
      <c r="AO39" s="6">
        <v>-35.42056074766355</v>
      </c>
      <c r="AP39" s="6">
        <v>-41.63043478260869</v>
      </c>
      <c r="AQ39" s="6">
        <v>-42.637362637362635</v>
      </c>
      <c r="AR39" s="6">
        <v>-35.63636363636363</v>
      </c>
      <c r="AS39" s="6">
        <v>-37.80952380952381</v>
      </c>
      <c r="AT39" s="6">
        <v>-42.765957446808514</v>
      </c>
      <c r="AU39" s="6">
        <v>-43.76344086021506</v>
      </c>
      <c r="AV39" s="6">
        <v>-38.05555555555556</v>
      </c>
      <c r="AW39" s="6">
        <v>-38.1651376146789</v>
      </c>
      <c r="AX39" s="6">
        <v>-46.77777777777778</v>
      </c>
      <c r="AY39" s="6">
        <v>-44.8421052631579</v>
      </c>
      <c r="AZ39" s="6">
        <v>-40.75471698113208</v>
      </c>
      <c r="BA39" s="6">
        <v>-40.8411214953271</v>
      </c>
      <c r="BB39" s="6">
        <v>-48.04347826086956</v>
      </c>
      <c r="BC39" s="6">
        <v>-49.120879120879124</v>
      </c>
    </row>
    <row r="40" ht="15.997499999999997" customHeight="1">
      <c r="A40" s="8" t="s">
        <v>35</v>
      </c>
      <c r="B40" s="8" t="s">
        <v>79</v>
      </c>
      <c r="C40" s="8" t="s">
        <v>42</v>
      </c>
      <c r="D40" s="8" t="s">
        <v>43</v>
      </c>
      <c r="E40" s="8" t="s">
        <v>84</v>
      </c>
      <c r="F40" s="8" t="s">
        <v>39</v>
      </c>
      <c r="G40" s="9">
        <f t="shared" si="0"/>
        <v>-348</v>
      </c>
      <c r="H40" s="9">
        <f t="shared" si="0"/>
        <v>-352.2</v>
      </c>
      <c r="I40" s="9">
        <f t="shared" si="0"/>
        <v>-356.4</v>
      </c>
      <c r="J40" s="9">
        <f t="shared" si="0"/>
        <v>-360.6</v>
      </c>
      <c r="K40" s="9">
        <f t="shared" si="0"/>
        <v>-365.1</v>
      </c>
      <c r="L40" s="9">
        <f t="shared" si="0"/>
        <v>-369.4</v>
      </c>
      <c r="M40" s="9">
        <f t="shared" si="0"/>
        <v>-373.8</v>
      </c>
      <c r="N40" s="9">
        <f t="shared" si="0"/>
        <v>-378.4</v>
      </c>
      <c r="O40" s="9">
        <f t="shared" si="0"/>
        <v>-382.8</v>
      </c>
      <c r="P40" s="9">
        <f t="shared" si="0"/>
        <v>-387.5</v>
      </c>
      <c r="Q40" s="9">
        <f t="shared" si="0"/>
        <v>-392.1</v>
      </c>
      <c r="R40" s="9">
        <f t="shared" si="0"/>
        <v>-396.9</v>
      </c>
      <c r="S40" s="9">
        <f t="shared" si="0"/>
        <v>-401.5</v>
      </c>
      <c r="T40" s="9">
        <f t="shared" si="0"/>
        <v>-406.4</v>
      </c>
      <c r="U40" s="9">
        <f t="shared" si="0"/>
        <v>-411.2</v>
      </c>
      <c r="V40" s="9">
        <f t="shared" si="0"/>
        <v>-416.2</v>
      </c>
      <c r="W40" s="9">
        <f t="shared" si="0"/>
        <v>-421.1</v>
      </c>
      <c r="X40" s="9">
        <f t="shared" si="0"/>
        <v>-426.2</v>
      </c>
      <c r="Y40" s="9">
        <f t="shared" si="0"/>
        <v>-431.3</v>
      </c>
      <c r="Z40" s="9">
        <f t="shared" si="0"/>
        <v>-436.5</v>
      </c>
      <c r="AA40" s="9">
        <f t="shared" si="0"/>
        <v>-441.8</v>
      </c>
      <c r="AB40" s="9">
        <f t="shared" si="0"/>
        <v>-447.1</v>
      </c>
      <c r="AC40" s="9">
        <f t="shared" si="0"/>
        <v>-452.4</v>
      </c>
      <c r="AD40" s="9">
        <f t="shared" si="0"/>
        <v>-457.8</v>
      </c>
      <c r="AE40" s="10"/>
      <c r="AF40" s="9">
        <f t="shared" si="0"/>
        <v>-320.834337256356</v>
      </c>
      <c r="AG40" s="9">
        <f t="shared" si="0"/>
        <v>-323.510862226459</v>
      </c>
      <c r="AH40" s="9">
        <f t="shared" si="0"/>
        <v>-388.606071917382</v>
      </c>
      <c r="AI40" s="9">
        <f t="shared" si="0"/>
        <v>-381.489999879589</v>
      </c>
      <c r="AJ40" s="9">
        <f t="shared" si="0"/>
        <v>-342.922422069398</v>
      </c>
      <c r="AK40" s="9">
        <f t="shared" si="0"/>
        <v>-343.732800149888</v>
      </c>
      <c r="AL40" s="9">
        <f t="shared" si="0"/>
        <v>-408.417476243563</v>
      </c>
      <c r="AM40" s="9">
        <f t="shared" si="0"/>
        <v>-415.386928860613</v>
      </c>
      <c r="AN40" s="9">
        <f t="shared" si="0"/>
        <v>-353.854447439353</v>
      </c>
      <c r="AO40" s="9">
        <f t="shared" si="0"/>
        <v>-367.412474494294</v>
      </c>
      <c r="AP40" s="9">
        <f t="shared" si="0"/>
        <v>-419.251116548795</v>
      </c>
      <c r="AQ40" s="9">
        <f t="shared" si="0"/>
        <v>-428.970929724787</v>
      </c>
      <c r="AR40" s="9">
        <f t="shared" si="0"/>
        <v>-370.158110153523</v>
      </c>
      <c r="AS40" s="9">
        <f t="shared" si="0"/>
        <v>-373.296596369991</v>
      </c>
      <c r="AT40" s="9">
        <f t="shared" si="0"/>
        <v>-448.356600721662</v>
      </c>
      <c r="AU40" s="9">
        <f t="shared" si="0"/>
        <v>-440.312153066262</v>
      </c>
      <c r="AV40" s="9">
        <f t="shared" si="0"/>
        <v>-395.521610924979</v>
      </c>
      <c r="AW40" s="9">
        <f t="shared" si="0"/>
        <v>-396.586736783942</v>
      </c>
      <c r="AX40" s="9">
        <f t="shared" si="0"/>
        <v>-471.242660720922</v>
      </c>
      <c r="AY40" s="9">
        <f t="shared" si="0"/>
        <v>-479.169333590386</v>
      </c>
      <c r="AZ40" s="9">
        <f t="shared" si="0"/>
        <v>-408.395409621825</v>
      </c>
      <c r="BA40" s="9">
        <f t="shared" si="0"/>
        <v>-423.923780974213</v>
      </c>
      <c r="BB40" s="9">
        <f t="shared" si="0"/>
        <v>-483.726388350094</v>
      </c>
      <c r="BC40" s="9">
        <f t="shared" si="0"/>
        <v>-494.790584590725</v>
      </c>
    </row>
    <row r="41" ht="15.997499999999997" customHeight="1">
      <c r="A41" s="5" t="s">
        <v>45</v>
      </c>
      <c r="B41" s="5" t="s">
        <v>45</v>
      </c>
      <c r="C41" s="5" t="s">
        <v>45</v>
      </c>
      <c r="D41" s="5" t="s">
        <v>45</v>
      </c>
      <c r="E41" s="5" t="s">
        <v>45</v>
      </c>
      <c r="F41" s="5" t="s">
        <v>45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7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ht="15.997499999999997" customHeight="1">
      <c r="A42" s="5" t="s">
        <v>35</v>
      </c>
      <c r="B42" s="5" t="s">
        <v>85</v>
      </c>
      <c r="C42" s="5" t="s">
        <v>86</v>
      </c>
      <c r="D42" s="5">
        <v>6000</v>
      </c>
      <c r="E42" s="5" t="s">
        <v>87</v>
      </c>
      <c r="F42" s="5" t="s">
        <v>39</v>
      </c>
      <c r="G42" s="6">
        <v>-445</v>
      </c>
      <c r="H42" s="6">
        <v>-453</v>
      </c>
      <c r="I42" s="6">
        <v>-461.2</v>
      </c>
      <c r="J42" s="6">
        <v>-469.5</v>
      </c>
      <c r="K42" s="6">
        <v>-477.9</v>
      </c>
      <c r="L42" s="6">
        <v>-486.5</v>
      </c>
      <c r="M42" s="6">
        <v>-495.3</v>
      </c>
      <c r="N42" s="6">
        <v>-504.2</v>
      </c>
      <c r="O42" s="6">
        <v>-513.3</v>
      </c>
      <c r="P42" s="6">
        <v>-522.5</v>
      </c>
      <c r="Q42" s="6">
        <v>-531.9</v>
      </c>
      <c r="R42" s="6">
        <v>-541.5</v>
      </c>
      <c r="S42" s="6">
        <v>-551.2</v>
      </c>
      <c r="T42" s="6">
        <v>-561.2</v>
      </c>
      <c r="U42" s="6">
        <v>-571.3</v>
      </c>
      <c r="V42" s="6">
        <v>-581.5</v>
      </c>
      <c r="W42" s="6">
        <v>-592</v>
      </c>
      <c r="X42" s="6">
        <v>-602.7</v>
      </c>
      <c r="Y42" s="6">
        <v>-613.5</v>
      </c>
      <c r="Z42" s="6">
        <v>-624.6</v>
      </c>
      <c r="AA42" s="6">
        <v>-635.8</v>
      </c>
      <c r="AB42" s="6">
        <v>-647.2</v>
      </c>
      <c r="AC42" s="6">
        <v>-658.9</v>
      </c>
      <c r="AD42" s="6">
        <v>-670.7</v>
      </c>
      <c r="AE42" s="7"/>
      <c r="AF42" s="6">
        <v>-415.8878504672897</v>
      </c>
      <c r="AG42" s="6">
        <v>-419.4444444444444</v>
      </c>
      <c r="AH42" s="6">
        <v>-506.8131868131868</v>
      </c>
      <c r="AI42" s="6">
        <v>-521.6666666666666</v>
      </c>
      <c r="AJ42" s="6">
        <v>-455.1428571428571</v>
      </c>
      <c r="AK42" s="6">
        <v>-458.9622641509434</v>
      </c>
      <c r="AL42" s="6">
        <v>-532.5806451612904</v>
      </c>
      <c r="AM42" s="6">
        <v>-548.0434782608695</v>
      </c>
      <c r="AN42" s="6">
        <v>-470.9174311926605</v>
      </c>
      <c r="AO42" s="6">
        <v>-474.99999999999994</v>
      </c>
      <c r="AP42" s="6">
        <v>-559.8947368421053</v>
      </c>
      <c r="AQ42" s="6">
        <v>-576.0638297872341</v>
      </c>
      <c r="AR42" s="6">
        <v>-515.1401869158879</v>
      </c>
      <c r="AS42" s="6">
        <v>-519.6296296296297</v>
      </c>
      <c r="AT42" s="6">
        <v>-627.8021978021977</v>
      </c>
      <c r="AU42" s="6">
        <v>-646.1111111111111</v>
      </c>
      <c r="AV42" s="6">
        <v>-563.8095238095237</v>
      </c>
      <c r="AW42" s="6">
        <v>-568.5849056603773</v>
      </c>
      <c r="AX42" s="6">
        <v>-659.6774193548388</v>
      </c>
      <c r="AY42" s="6">
        <v>-678.9130434782609</v>
      </c>
      <c r="AZ42" s="6">
        <v>-583.3027522935779</v>
      </c>
      <c r="BA42" s="6">
        <v>-588.3636363636364</v>
      </c>
      <c r="BB42" s="6">
        <v>-693.578947368421</v>
      </c>
      <c r="BC42" s="6">
        <v>-713.5106382978724</v>
      </c>
    </row>
    <row r="43" ht="15.997499999999997" customHeight="1">
      <c r="A43" s="5" t="s">
        <v>35</v>
      </c>
      <c r="B43" s="5" t="s">
        <v>85</v>
      </c>
      <c r="C43" s="5" t="s">
        <v>86</v>
      </c>
      <c r="D43" s="5">
        <v>6010</v>
      </c>
      <c r="E43" s="5" t="s">
        <v>88</v>
      </c>
      <c r="F43" s="5" t="s">
        <v>39</v>
      </c>
      <c r="G43" s="6">
        <v>-175</v>
      </c>
      <c r="H43" s="6">
        <v>-177.1</v>
      </c>
      <c r="I43" s="6">
        <v>-179.2</v>
      </c>
      <c r="J43" s="6">
        <v>-181.4</v>
      </c>
      <c r="K43" s="6">
        <v>-183.6</v>
      </c>
      <c r="L43" s="6">
        <v>-185.8</v>
      </c>
      <c r="M43" s="6">
        <v>-188</v>
      </c>
      <c r="N43" s="6">
        <v>-190.2</v>
      </c>
      <c r="O43" s="6">
        <v>-192.5</v>
      </c>
      <c r="P43" s="6">
        <v>-194.8</v>
      </c>
      <c r="Q43" s="6">
        <v>-197.2</v>
      </c>
      <c r="R43" s="6">
        <v>-199.5</v>
      </c>
      <c r="S43" s="6">
        <v>-201.9</v>
      </c>
      <c r="T43" s="6">
        <v>-204.4</v>
      </c>
      <c r="U43" s="6">
        <v>-206.8</v>
      </c>
      <c r="V43" s="6">
        <v>-209.3</v>
      </c>
      <c r="W43" s="6">
        <v>-211.8</v>
      </c>
      <c r="X43" s="6">
        <v>-214.3</v>
      </c>
      <c r="Y43" s="6">
        <v>-216.9</v>
      </c>
      <c r="Z43" s="6">
        <v>-219.5</v>
      </c>
      <c r="AA43" s="6">
        <v>-222.2</v>
      </c>
      <c r="AB43" s="6">
        <v>-224.8</v>
      </c>
      <c r="AC43" s="6">
        <v>-227.5</v>
      </c>
      <c r="AD43" s="6">
        <v>-230.2</v>
      </c>
      <c r="AE43" s="7"/>
      <c r="AF43" s="6">
        <v>-162.03703703703704</v>
      </c>
      <c r="AG43" s="6">
        <v>-162.47706422018348</v>
      </c>
      <c r="AH43" s="6">
        <v>-199.1111111111111</v>
      </c>
      <c r="AI43" s="6">
        <v>-190.94736842105266</v>
      </c>
      <c r="AJ43" s="6">
        <v>-173.2075471698113</v>
      </c>
      <c r="AK43" s="6">
        <v>-173.6448598130841</v>
      </c>
      <c r="AL43" s="6">
        <v>-204.3478260869565</v>
      </c>
      <c r="AM43" s="6">
        <v>-209.010989010989</v>
      </c>
      <c r="AN43" s="6">
        <v>-175</v>
      </c>
      <c r="AO43" s="6">
        <v>-185.52380952380952</v>
      </c>
      <c r="AP43" s="6">
        <v>-209.7872340425532</v>
      </c>
      <c r="AQ43" s="6">
        <v>-214.51612903225808</v>
      </c>
      <c r="AR43" s="6">
        <v>-186.94444444444443</v>
      </c>
      <c r="AS43" s="6">
        <v>-187.5229357798165</v>
      </c>
      <c r="AT43" s="6">
        <v>-229.77777777777777</v>
      </c>
      <c r="AU43" s="6">
        <v>-220.31578947368422</v>
      </c>
      <c r="AV43" s="6">
        <v>-199.81132075471697</v>
      </c>
      <c r="AW43" s="6">
        <v>-200.2803738317757</v>
      </c>
      <c r="AX43" s="6">
        <v>-235.76086956521738</v>
      </c>
      <c r="AY43" s="6">
        <v>-241.2087912087912</v>
      </c>
      <c r="AZ43" s="6">
        <v>-201.99999999999997</v>
      </c>
      <c r="BA43" s="6">
        <v>-214.0952380952381</v>
      </c>
      <c r="BB43" s="6">
        <v>-242.0212765957447</v>
      </c>
      <c r="BC43" s="6">
        <v>-247.5268817204301</v>
      </c>
    </row>
    <row r="44" ht="15.997499999999997" customHeight="1">
      <c r="A44" s="5" t="s">
        <v>35</v>
      </c>
      <c r="B44" s="5" t="s">
        <v>85</v>
      </c>
      <c r="C44" s="5" t="s">
        <v>86</v>
      </c>
      <c r="D44" s="5">
        <v>6050</v>
      </c>
      <c r="E44" s="5" t="s">
        <v>89</v>
      </c>
      <c r="F44" s="5" t="s">
        <v>39</v>
      </c>
      <c r="G44" s="6">
        <v>-58</v>
      </c>
      <c r="H44" s="6">
        <v>-58.7</v>
      </c>
      <c r="I44" s="6">
        <v>-59.4</v>
      </c>
      <c r="J44" s="6">
        <v>-60.1</v>
      </c>
      <c r="K44" s="6">
        <v>-60.8</v>
      </c>
      <c r="L44" s="6">
        <v>-61.6</v>
      </c>
      <c r="M44" s="6">
        <v>-62.3</v>
      </c>
      <c r="N44" s="6">
        <v>-63.1</v>
      </c>
      <c r="O44" s="6">
        <v>-63.8</v>
      </c>
      <c r="P44" s="6">
        <v>-64.6</v>
      </c>
      <c r="Q44" s="6">
        <v>-65.3</v>
      </c>
      <c r="R44" s="6">
        <v>-66.1</v>
      </c>
      <c r="S44" s="6">
        <v>-66.9</v>
      </c>
      <c r="T44" s="6">
        <v>-67.7</v>
      </c>
      <c r="U44" s="6">
        <v>-68.5</v>
      </c>
      <c r="V44" s="6">
        <v>-69.4</v>
      </c>
      <c r="W44" s="6">
        <v>-70.2</v>
      </c>
      <c r="X44" s="6">
        <v>-71</v>
      </c>
      <c r="Y44" s="6">
        <v>-71.9</v>
      </c>
      <c r="Z44" s="6">
        <v>-72.8</v>
      </c>
      <c r="AA44" s="6">
        <v>-73.6</v>
      </c>
      <c r="AB44" s="6">
        <v>-74.5</v>
      </c>
      <c r="AC44" s="6">
        <v>-75.4</v>
      </c>
      <c r="AD44" s="6">
        <v>-76.3</v>
      </c>
      <c r="AE44" s="7"/>
      <c r="AF44" s="6">
        <v>-53.211009174311926</v>
      </c>
      <c r="AG44" s="6">
        <v>-53.36363636363636</v>
      </c>
      <c r="AH44" s="6">
        <v>-62.526315789473685</v>
      </c>
      <c r="AI44" s="6">
        <v>-63.936170212765965</v>
      </c>
      <c r="AJ44" s="6">
        <v>-56.82242990654205</v>
      </c>
      <c r="AK44" s="6">
        <v>-57.03703703703704</v>
      </c>
      <c r="AL44" s="6">
        <v>-68.46153846153845</v>
      </c>
      <c r="AM44" s="6">
        <v>-70.11111111111111</v>
      </c>
      <c r="AN44" s="6">
        <v>-60.76190476190476</v>
      </c>
      <c r="AO44" s="6">
        <v>-60.94339622641509</v>
      </c>
      <c r="AP44" s="6">
        <v>-70.21505376344086</v>
      </c>
      <c r="AQ44" s="6">
        <v>-71.84782608695652</v>
      </c>
      <c r="AR44" s="6">
        <v>-61.37614678899082</v>
      </c>
      <c r="AS44" s="6">
        <v>-61.54545454545454</v>
      </c>
      <c r="AT44" s="6">
        <v>-72.10526315789474</v>
      </c>
      <c r="AU44" s="6">
        <v>-73.82978723404257</v>
      </c>
      <c r="AV44" s="6">
        <v>-65.60747663551402</v>
      </c>
      <c r="AW44" s="6">
        <v>-65.74074074074073</v>
      </c>
      <c r="AX44" s="6">
        <v>-79.01098901098902</v>
      </c>
      <c r="AY44" s="6">
        <v>-80.88888888888889</v>
      </c>
      <c r="AZ44" s="6">
        <v>-70.09523809523809</v>
      </c>
      <c r="BA44" s="6">
        <v>-70.28301886792453</v>
      </c>
      <c r="BB44" s="6">
        <v>-81.07526881720432</v>
      </c>
      <c r="BC44" s="6">
        <v>-82.93478260869564</v>
      </c>
    </row>
    <row r="45" ht="15.997499999999997" customHeight="1">
      <c r="A45" s="8" t="s">
        <v>35</v>
      </c>
      <c r="B45" s="8" t="s">
        <v>85</v>
      </c>
      <c r="C45" s="8" t="s">
        <v>42</v>
      </c>
      <c r="D45" s="8" t="s">
        <v>43</v>
      </c>
      <c r="E45" s="8" t="s">
        <v>90</v>
      </c>
      <c r="F45" s="8" t="s">
        <v>39</v>
      </c>
      <c r="G45" s="9">
        <f t="shared" si="0"/>
        <v>-678</v>
      </c>
      <c r="H45" s="9">
        <f t="shared" si="0"/>
        <v>-688.8</v>
      </c>
      <c r="I45" s="9">
        <f t="shared" si="0"/>
        <v>-699.8</v>
      </c>
      <c r="J45" s="9">
        <f t="shared" si="0"/>
        <v>-711</v>
      </c>
      <c r="K45" s="9">
        <f t="shared" si="0"/>
        <v>-722.3</v>
      </c>
      <c r="L45" s="9">
        <f t="shared" si="0"/>
        <v>-733.9</v>
      </c>
      <c r="M45" s="9">
        <f t="shared" si="0"/>
        <v>-745.6</v>
      </c>
      <c r="N45" s="9">
        <f t="shared" si="0"/>
        <v>-757.5</v>
      </c>
      <c r="O45" s="9">
        <f t="shared" si="0"/>
        <v>-769.6</v>
      </c>
      <c r="P45" s="9">
        <f t="shared" si="0"/>
        <v>-781.9</v>
      </c>
      <c r="Q45" s="9">
        <f t="shared" si="0"/>
        <v>-794.4</v>
      </c>
      <c r="R45" s="9">
        <f t="shared" si="0"/>
        <v>-807.1</v>
      </c>
      <c r="S45" s="9">
        <f t="shared" si="0"/>
        <v>-820</v>
      </c>
      <c r="T45" s="9">
        <f t="shared" si="0"/>
        <v>-833.3</v>
      </c>
      <c r="U45" s="9">
        <f t="shared" si="0"/>
        <v>-846.6</v>
      </c>
      <c r="V45" s="9">
        <f t="shared" si="0"/>
        <v>-860.2</v>
      </c>
      <c r="W45" s="9">
        <f t="shared" si="0"/>
        <v>-874</v>
      </c>
      <c r="X45" s="9">
        <f t="shared" si="0"/>
        <v>-888</v>
      </c>
      <c r="Y45" s="9">
        <f t="shared" si="0"/>
        <v>-902.3</v>
      </c>
      <c r="Z45" s="9">
        <f t="shared" si="0"/>
        <v>-916.9</v>
      </c>
      <c r="AA45" s="9">
        <f t="shared" si="0"/>
        <v>-931.6</v>
      </c>
      <c r="AB45" s="9">
        <f t="shared" si="0"/>
        <v>-946.5</v>
      </c>
      <c r="AC45" s="9">
        <f t="shared" si="0"/>
        <v>-961.8</v>
      </c>
      <c r="AD45" s="9">
        <f t="shared" si="0"/>
        <v>-977.2</v>
      </c>
      <c r="AE45" s="10"/>
      <c r="AF45" s="9">
        <f t="shared" si="0"/>
        <v>-631.135896678639</v>
      </c>
      <c r="AG45" s="9">
        <f t="shared" si="0"/>
        <v>-635.285145028264</v>
      </c>
      <c r="AH45" s="9">
        <f t="shared" si="0"/>
        <v>-768.450613713772</v>
      </c>
      <c r="AI45" s="9">
        <f t="shared" si="0"/>
        <v>-776.550205300485</v>
      </c>
      <c r="AJ45" s="9">
        <f t="shared" si="0"/>
        <v>-685.17283421921</v>
      </c>
      <c r="AK45" s="9">
        <f t="shared" si="0"/>
        <v>-689.644161001065</v>
      </c>
      <c r="AL45" s="9">
        <f t="shared" si="0"/>
        <v>-805.390009709785</v>
      </c>
      <c r="AM45" s="9">
        <f t="shared" si="0"/>
        <v>-827.16557838297</v>
      </c>
      <c r="AN45" s="9">
        <f t="shared" si="0"/>
        <v>-706.679335954565</v>
      </c>
      <c r="AO45" s="9">
        <f t="shared" si="0"/>
        <v>-721.467205750224</v>
      </c>
      <c r="AP45" s="9">
        <f t="shared" si="0"/>
        <v>-839.897024648099</v>
      </c>
      <c r="AQ45" s="9">
        <f t="shared" si="0"/>
        <v>-862.427784906449</v>
      </c>
      <c r="AR45" s="9">
        <f t="shared" si="0"/>
        <v>-763.460778149323</v>
      </c>
      <c r="AS45" s="9">
        <f t="shared" si="0"/>
        <v>-768.698019954901</v>
      </c>
      <c r="AT45" s="9">
        <f t="shared" si="0"/>
        <v>-929.68523873787</v>
      </c>
      <c r="AU45" s="9">
        <f t="shared" si="0"/>
        <v>-940.256687818838</v>
      </c>
      <c r="AV45" s="9">
        <f t="shared" si="0"/>
        <v>-829.228321199755</v>
      </c>
      <c r="AW45" s="9">
        <f t="shared" si="0"/>
        <v>-834.606020232894</v>
      </c>
      <c r="AX45" s="9">
        <f t="shared" si="0"/>
        <v>-974.449277931045</v>
      </c>
      <c r="AY45" s="9">
        <f t="shared" si="0"/>
        <v>-1001.01072357594</v>
      </c>
      <c r="AZ45" s="9">
        <f t="shared" si="0"/>
        <v>-855.397990388816</v>
      </c>
      <c r="BA45" s="9">
        <f t="shared" si="0"/>
        <v>-872.741893326799</v>
      </c>
      <c r="BB45" s="9">
        <f t="shared" si="0"/>
        <v>-1016.67549278137</v>
      </c>
      <c r="BC45" s="9">
        <f t="shared" si="0"/>
        <v>-1043.972302627</v>
      </c>
    </row>
    <row r="46" ht="15.997499999999997" customHeight="1">
      <c r="A46" s="5" t="s">
        <v>45</v>
      </c>
      <c r="B46" s="5" t="s">
        <v>45</v>
      </c>
      <c r="C46" s="5" t="s">
        <v>45</v>
      </c>
      <c r="D46" s="5" t="s">
        <v>45</v>
      </c>
      <c r="E46" s="5" t="s">
        <v>45</v>
      </c>
      <c r="F46" s="5" t="s">
        <v>45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7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</row>
    <row r="47" ht="15.997499999999997" customHeight="1">
      <c r="A47" s="5" t="s">
        <v>35</v>
      </c>
      <c r="B47" s="5" t="s">
        <v>91</v>
      </c>
      <c r="C47" s="5" t="s">
        <v>92</v>
      </c>
      <c r="D47" s="5">
        <v>6000</v>
      </c>
      <c r="E47" s="5" t="s">
        <v>93</v>
      </c>
      <c r="F47" s="5" t="s">
        <v>39</v>
      </c>
      <c r="G47" s="6">
        <v>-325</v>
      </c>
      <c r="H47" s="6">
        <v>-330.8</v>
      </c>
      <c r="I47" s="6">
        <v>-336.8</v>
      </c>
      <c r="J47" s="6">
        <v>-342.9</v>
      </c>
      <c r="K47" s="6">
        <v>-349</v>
      </c>
      <c r="L47" s="6">
        <v>-355.3</v>
      </c>
      <c r="M47" s="6">
        <v>-361.7</v>
      </c>
      <c r="N47" s="6">
        <v>-368.2</v>
      </c>
      <c r="O47" s="6">
        <v>-374.9</v>
      </c>
      <c r="P47" s="6">
        <v>-381.6</v>
      </c>
      <c r="Q47" s="6">
        <v>-388.5</v>
      </c>
      <c r="R47" s="6">
        <v>-395.5</v>
      </c>
      <c r="S47" s="6">
        <v>-402.6</v>
      </c>
      <c r="T47" s="6">
        <v>-409.8</v>
      </c>
      <c r="U47" s="6">
        <v>-417.2</v>
      </c>
      <c r="V47" s="6">
        <v>-424.7</v>
      </c>
      <c r="W47" s="6">
        <v>-432.4</v>
      </c>
      <c r="X47" s="6">
        <v>-440.1</v>
      </c>
      <c r="Y47" s="6">
        <v>-448.1</v>
      </c>
      <c r="Z47" s="6">
        <v>-456.1</v>
      </c>
      <c r="AA47" s="6">
        <v>-464.3</v>
      </c>
      <c r="AB47" s="6">
        <v>-472.7</v>
      </c>
      <c r="AC47" s="6">
        <v>-481.2</v>
      </c>
      <c r="AD47" s="6">
        <v>-489.9</v>
      </c>
      <c r="AE47" s="7"/>
      <c r="AF47" s="6">
        <v>-306.60377358490564</v>
      </c>
      <c r="AG47" s="6">
        <v>-309.1588785046729</v>
      </c>
      <c r="AH47" s="6">
        <v>-366.0869565217391</v>
      </c>
      <c r="AI47" s="6">
        <v>-376.8131868131868</v>
      </c>
      <c r="AJ47" s="6">
        <v>-317.27272727272725</v>
      </c>
      <c r="AK47" s="6">
        <v>-338.38095238095235</v>
      </c>
      <c r="AL47" s="6">
        <v>-384.7872340425532</v>
      </c>
      <c r="AM47" s="6">
        <v>-395.9139784946237</v>
      </c>
      <c r="AN47" s="6">
        <v>-347.12962962962956</v>
      </c>
      <c r="AO47" s="6">
        <v>-350.091743119266</v>
      </c>
      <c r="AP47" s="6">
        <v>-431.66666666666663</v>
      </c>
      <c r="AQ47" s="6">
        <v>-416.3157894736842</v>
      </c>
      <c r="AR47" s="6">
        <v>-379.811320754717</v>
      </c>
      <c r="AS47" s="6">
        <v>-382.9906542056075</v>
      </c>
      <c r="AT47" s="6">
        <v>-453.4782608695652</v>
      </c>
      <c r="AU47" s="6">
        <v>-466.7032967032967</v>
      </c>
      <c r="AV47" s="6">
        <v>-393.09090909090907</v>
      </c>
      <c r="AW47" s="6">
        <v>-419.14285714285717</v>
      </c>
      <c r="AX47" s="6">
        <v>-476.7021276595745</v>
      </c>
      <c r="AY47" s="6">
        <v>-490.4301075268818</v>
      </c>
      <c r="AZ47" s="6">
        <v>-429.9074074074074</v>
      </c>
      <c r="BA47" s="6">
        <v>-433.6697247706422</v>
      </c>
      <c r="BB47" s="6">
        <v>-534.6666666666666</v>
      </c>
      <c r="BC47" s="6">
        <v>-515.6842105263158</v>
      </c>
    </row>
    <row r="48" ht="15.997499999999997" customHeight="1">
      <c r="A48" s="5" t="s">
        <v>35</v>
      </c>
      <c r="B48" s="5" t="s">
        <v>91</v>
      </c>
      <c r="C48" s="5" t="s">
        <v>92</v>
      </c>
      <c r="D48" s="5">
        <v>6010</v>
      </c>
      <c r="E48" s="5" t="s">
        <v>94</v>
      </c>
      <c r="F48" s="5" t="s">
        <v>39</v>
      </c>
      <c r="G48" s="6">
        <v>-122</v>
      </c>
      <c r="H48" s="6">
        <v>-123.5</v>
      </c>
      <c r="I48" s="6">
        <v>-124.9</v>
      </c>
      <c r="J48" s="6">
        <v>-126.4</v>
      </c>
      <c r="K48" s="6">
        <v>-128</v>
      </c>
      <c r="L48" s="6">
        <v>-129.5</v>
      </c>
      <c r="M48" s="6">
        <v>-131.1</v>
      </c>
      <c r="N48" s="6">
        <v>-132.6</v>
      </c>
      <c r="O48" s="6">
        <v>-134.2</v>
      </c>
      <c r="P48" s="6">
        <v>-135.8</v>
      </c>
      <c r="Q48" s="6">
        <v>-137.5</v>
      </c>
      <c r="R48" s="6">
        <v>-139.1</v>
      </c>
      <c r="S48" s="6">
        <v>-140.8</v>
      </c>
      <c r="T48" s="6">
        <v>-142.5</v>
      </c>
      <c r="U48" s="6">
        <v>-144.2</v>
      </c>
      <c r="V48" s="6">
        <v>-145.9</v>
      </c>
      <c r="W48" s="6">
        <v>-147.7</v>
      </c>
      <c r="X48" s="6">
        <v>-149.4</v>
      </c>
      <c r="Y48" s="6">
        <v>-151.2</v>
      </c>
      <c r="Z48" s="6">
        <v>-153</v>
      </c>
      <c r="AA48" s="6">
        <v>-154.9</v>
      </c>
      <c r="AB48" s="6">
        <v>-156.7</v>
      </c>
      <c r="AC48" s="6">
        <v>-158.6</v>
      </c>
      <c r="AD48" s="6">
        <v>-160.5</v>
      </c>
      <c r="AE48" s="7"/>
      <c r="AF48" s="6">
        <v>-114.01869158878505</v>
      </c>
      <c r="AG48" s="6">
        <v>-114.35185185185185</v>
      </c>
      <c r="AH48" s="6">
        <v>-137.25274725274724</v>
      </c>
      <c r="AI48" s="6">
        <v>-140.44444444444446</v>
      </c>
      <c r="AJ48" s="6">
        <v>-121.9047619047619</v>
      </c>
      <c r="AK48" s="6">
        <v>-122.1698113207547</v>
      </c>
      <c r="AL48" s="6">
        <v>-140.96774193548387</v>
      </c>
      <c r="AM48" s="6">
        <v>-144.1304347826087</v>
      </c>
      <c r="AN48" s="6">
        <v>-123.11926605504586</v>
      </c>
      <c r="AO48" s="6">
        <v>-123.45454545454545</v>
      </c>
      <c r="AP48" s="6">
        <v>-144.73684210526318</v>
      </c>
      <c r="AQ48" s="6">
        <v>-147.97872340425533</v>
      </c>
      <c r="AR48" s="6">
        <v>-131.588785046729</v>
      </c>
      <c r="AS48" s="6">
        <v>-131.94444444444443</v>
      </c>
      <c r="AT48" s="6">
        <v>-158.46153846153845</v>
      </c>
      <c r="AU48" s="6">
        <v>-162.11111111111111</v>
      </c>
      <c r="AV48" s="6">
        <v>-140.66666666666666</v>
      </c>
      <c r="AW48" s="6">
        <v>-140.9433962264151</v>
      </c>
      <c r="AX48" s="6">
        <v>-162.58064516129033</v>
      </c>
      <c r="AY48" s="6">
        <v>-166.30434782608694</v>
      </c>
      <c r="AZ48" s="6">
        <v>-142.11009174311926</v>
      </c>
      <c r="BA48" s="6">
        <v>-142.45454545454544</v>
      </c>
      <c r="BB48" s="6">
        <v>-166.94736842105263</v>
      </c>
      <c r="BC48" s="6">
        <v>-170.74468085106383</v>
      </c>
    </row>
    <row r="49" ht="15.997499999999997" customHeight="1">
      <c r="A49" s="5" t="s">
        <v>35</v>
      </c>
      <c r="B49" s="5" t="s">
        <v>91</v>
      </c>
      <c r="C49" s="5" t="s">
        <v>92</v>
      </c>
      <c r="D49" s="5">
        <v>6050</v>
      </c>
      <c r="E49" s="5" t="s">
        <v>95</v>
      </c>
      <c r="F49" s="5" t="s">
        <v>39</v>
      </c>
      <c r="G49" s="6">
        <v>-42</v>
      </c>
      <c r="H49" s="6">
        <v>-42.5</v>
      </c>
      <c r="I49" s="6">
        <v>-43</v>
      </c>
      <c r="J49" s="6">
        <v>-43.5</v>
      </c>
      <c r="K49" s="6">
        <v>-44.1</v>
      </c>
      <c r="L49" s="6">
        <v>-44.6</v>
      </c>
      <c r="M49" s="6">
        <v>-45.1</v>
      </c>
      <c r="N49" s="6">
        <v>-45.7</v>
      </c>
      <c r="O49" s="6">
        <v>-46.2</v>
      </c>
      <c r="P49" s="6">
        <v>-46.8</v>
      </c>
      <c r="Q49" s="6">
        <v>-47.3</v>
      </c>
      <c r="R49" s="6">
        <v>-47.9</v>
      </c>
      <c r="S49" s="6">
        <v>-48.5</v>
      </c>
      <c r="T49" s="6">
        <v>-49</v>
      </c>
      <c r="U49" s="6">
        <v>-49.6</v>
      </c>
      <c r="V49" s="6">
        <v>-50.2</v>
      </c>
      <c r="W49" s="6">
        <v>-50.8</v>
      </c>
      <c r="X49" s="6">
        <v>-51.4</v>
      </c>
      <c r="Y49" s="6">
        <v>-52.1</v>
      </c>
      <c r="Z49" s="6">
        <v>-52.7</v>
      </c>
      <c r="AA49" s="6">
        <v>-53.3</v>
      </c>
      <c r="AB49" s="6">
        <v>-54</v>
      </c>
      <c r="AC49" s="6">
        <v>-54.6</v>
      </c>
      <c r="AD49" s="6">
        <v>-55.3</v>
      </c>
      <c r="AE49" s="7"/>
      <c r="AF49" s="6">
        <v>-38.888888888888886</v>
      </c>
      <c r="AG49" s="6">
        <v>-38.99082568807339</v>
      </c>
      <c r="AH49" s="6">
        <v>-47.77777777777778</v>
      </c>
      <c r="AI49" s="6">
        <v>-45.78947368421053</v>
      </c>
      <c r="AJ49" s="6">
        <v>-41.60377358490566</v>
      </c>
      <c r="AK49" s="6">
        <v>-41.6822429906542</v>
      </c>
      <c r="AL49" s="6">
        <v>-49.02173913043478</v>
      </c>
      <c r="AM49" s="6">
        <v>-50.21978021978022</v>
      </c>
      <c r="AN49" s="6">
        <v>-42</v>
      </c>
      <c r="AO49" s="6">
        <v>-44.57142857142857</v>
      </c>
      <c r="AP49" s="6">
        <v>-50.319148936170215</v>
      </c>
      <c r="AQ49" s="6">
        <v>-51.505376344086024</v>
      </c>
      <c r="AR49" s="6">
        <v>-44.907407407407405</v>
      </c>
      <c r="AS49" s="6">
        <v>-44.95412844036697</v>
      </c>
      <c r="AT49" s="6">
        <v>-55.111111111111114</v>
      </c>
      <c r="AU49" s="6">
        <v>-52.8421052631579</v>
      </c>
      <c r="AV49" s="6">
        <v>-47.92452830188679</v>
      </c>
      <c r="AW49" s="6">
        <v>-48.03738317757009</v>
      </c>
      <c r="AX49" s="6">
        <v>-56.630434782608695</v>
      </c>
      <c r="AY49" s="6">
        <v>-57.91208791208791</v>
      </c>
      <c r="AZ49" s="6">
        <v>-48.454545454545446</v>
      </c>
      <c r="BA49" s="6">
        <v>-51.42857142857142</v>
      </c>
      <c r="BB49" s="6">
        <v>-58.08510638297873</v>
      </c>
      <c r="BC49" s="6">
        <v>-59.46236559139785</v>
      </c>
    </row>
    <row r="50" ht="15.997499999999997" customHeight="1">
      <c r="A50" s="8" t="s">
        <v>35</v>
      </c>
      <c r="B50" s="8" t="s">
        <v>91</v>
      </c>
      <c r="C50" s="8" t="s">
        <v>42</v>
      </c>
      <c r="D50" s="8" t="s">
        <v>43</v>
      </c>
      <c r="E50" s="8" t="s">
        <v>96</v>
      </c>
      <c r="F50" s="8" t="s">
        <v>39</v>
      </c>
      <c r="G50" s="9">
        <f t="shared" si="0"/>
        <v>-489</v>
      </c>
      <c r="H50" s="9">
        <f t="shared" si="0"/>
        <v>-496.8</v>
      </c>
      <c r="I50" s="9">
        <f t="shared" si="0"/>
        <v>-504.7</v>
      </c>
      <c r="J50" s="9">
        <f t="shared" si="0"/>
        <v>-512.8</v>
      </c>
      <c r="K50" s="9">
        <f t="shared" si="0"/>
        <v>-521.1</v>
      </c>
      <c r="L50" s="9">
        <f t="shared" si="0"/>
        <v>-529.4</v>
      </c>
      <c r="M50" s="9">
        <f t="shared" si="0"/>
        <v>-537.9</v>
      </c>
      <c r="N50" s="9">
        <f t="shared" si="0"/>
        <v>-546.5</v>
      </c>
      <c r="O50" s="9">
        <f t="shared" si="0"/>
        <v>-555.3</v>
      </c>
      <c r="P50" s="9">
        <f t="shared" si="0"/>
        <v>-564.2</v>
      </c>
      <c r="Q50" s="9">
        <f t="shared" si="0"/>
        <v>-573.3</v>
      </c>
      <c r="R50" s="9">
        <f t="shared" si="0"/>
        <v>-582.5</v>
      </c>
      <c r="S50" s="9">
        <f t="shared" si="0"/>
        <v>-591.9</v>
      </c>
      <c r="T50" s="9">
        <f t="shared" si="0"/>
        <v>-601.3</v>
      </c>
      <c r="U50" s="9">
        <f t="shared" si="0"/>
        <v>-611</v>
      </c>
      <c r="V50" s="9">
        <f t="shared" si="0"/>
        <v>-620.8</v>
      </c>
      <c r="W50" s="9">
        <f t="shared" si="0"/>
        <v>-630.9</v>
      </c>
      <c r="X50" s="9">
        <f t="shared" si="0"/>
        <v>-640.9</v>
      </c>
      <c r="Y50" s="9">
        <f t="shared" si="0"/>
        <v>-651.4</v>
      </c>
      <c r="Z50" s="9">
        <f t="shared" si="0"/>
        <v>-661.8</v>
      </c>
      <c r="AA50" s="9">
        <f t="shared" si="0"/>
        <v>-672.5</v>
      </c>
      <c r="AB50" s="9">
        <f t="shared" si="0"/>
        <v>-683.4</v>
      </c>
      <c r="AC50" s="9">
        <f t="shared" si="0"/>
        <v>-694.4</v>
      </c>
      <c r="AD50" s="9">
        <f t="shared" si="0"/>
        <v>-705.7</v>
      </c>
      <c r="AE50" s="10"/>
      <c r="AF50" s="9">
        <f t="shared" si="0"/>
        <v>-459.51135406258</v>
      </c>
      <c r="AG50" s="9">
        <f t="shared" si="0"/>
        <v>-462.501556044598</v>
      </c>
      <c r="AH50" s="9">
        <f t="shared" si="0"/>
        <v>-551.117481552264</v>
      </c>
      <c r="AI50" s="9">
        <f t="shared" si="0"/>
        <v>-563.047104941842</v>
      </c>
      <c r="AJ50" s="9">
        <f t="shared" si="0"/>
        <v>-480.781262762395</v>
      </c>
      <c r="AK50" s="9">
        <f t="shared" si="0"/>
        <v>-502.233006692361</v>
      </c>
      <c r="AL50" s="9">
        <f t="shared" si="0"/>
        <v>-574.776715108472</v>
      </c>
      <c r="AM50" s="9">
        <f t="shared" si="0"/>
        <v>-590.264193497013</v>
      </c>
      <c r="AN50" s="9">
        <f t="shared" si="0"/>
        <v>-512.248895684675</v>
      </c>
      <c r="AO50" s="9">
        <f t="shared" si="0"/>
        <v>-518.11771714524</v>
      </c>
      <c r="AP50" s="9">
        <f t="shared" si="0"/>
        <v>-626.7226577081</v>
      </c>
      <c r="AQ50" s="9">
        <f t="shared" si="0"/>
        <v>-615.799889222026</v>
      </c>
      <c r="AR50" s="9">
        <f t="shared" si="0"/>
        <v>-556.307513208853</v>
      </c>
      <c r="AS50" s="9">
        <f t="shared" si="0"/>
        <v>-559.889227090419</v>
      </c>
      <c r="AT50" s="9">
        <f t="shared" si="0"/>
        <v>-667.050910442215</v>
      </c>
      <c r="AU50" s="9">
        <f t="shared" si="0"/>
        <v>-681.656513077566</v>
      </c>
      <c r="AV50" s="9">
        <f t="shared" si="0"/>
        <v>-581.682104059463</v>
      </c>
      <c r="AW50" s="9">
        <f t="shared" si="0"/>
        <v>-608.123636546842</v>
      </c>
      <c r="AX50" s="9">
        <f t="shared" si="0"/>
        <v>-695.913207603474</v>
      </c>
      <c r="AY50" s="9">
        <f t="shared" si="0"/>
        <v>-714.646543265057</v>
      </c>
      <c r="AZ50" s="9">
        <f t="shared" si="0"/>
        <v>-620.472044605072</v>
      </c>
      <c r="BA50" s="9">
        <f t="shared" si="0"/>
        <v>-627.552841653759</v>
      </c>
      <c r="BB50" s="9">
        <f t="shared" si="0"/>
        <v>-759.699141470698</v>
      </c>
      <c r="BC50" s="9">
        <f t="shared" si="0"/>
        <v>-745.891256968777</v>
      </c>
    </row>
    <row r="51" ht="15.997499999999997" customHeight="1">
      <c r="A51" s="5" t="s">
        <v>45</v>
      </c>
      <c r="B51" s="5" t="s">
        <v>45</v>
      </c>
      <c r="C51" s="5" t="s">
        <v>45</v>
      </c>
      <c r="D51" s="5" t="s">
        <v>45</v>
      </c>
      <c r="E51" s="5" t="s">
        <v>45</v>
      </c>
      <c r="F51" s="5" t="s">
        <v>45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7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</row>
    <row r="52" ht="15.997499999999997" customHeight="1">
      <c r="A52" s="5" t="s">
        <v>35</v>
      </c>
      <c r="B52" s="5" t="s">
        <v>97</v>
      </c>
      <c r="C52" s="5" t="s">
        <v>98</v>
      </c>
      <c r="D52" s="5">
        <v>6000</v>
      </c>
      <c r="E52" s="5" t="s">
        <v>99</v>
      </c>
      <c r="F52" s="5" t="s">
        <v>39</v>
      </c>
      <c r="G52" s="6">
        <v>-150</v>
      </c>
      <c r="H52" s="6">
        <v>-152.7</v>
      </c>
      <c r="I52" s="6">
        <v>-155.4</v>
      </c>
      <c r="J52" s="6">
        <v>-158.2</v>
      </c>
      <c r="K52" s="6">
        <v>-161.1</v>
      </c>
      <c r="L52" s="6">
        <v>-164</v>
      </c>
      <c r="M52" s="6">
        <v>-166.9</v>
      </c>
      <c r="N52" s="6">
        <v>-170</v>
      </c>
      <c r="O52" s="6">
        <v>-173</v>
      </c>
      <c r="P52" s="6">
        <v>-176.1</v>
      </c>
      <c r="Q52" s="6">
        <v>-179.3</v>
      </c>
      <c r="R52" s="6">
        <v>-182.5</v>
      </c>
      <c r="S52" s="6">
        <v>-185.8</v>
      </c>
      <c r="T52" s="6">
        <v>-189.2</v>
      </c>
      <c r="U52" s="6">
        <v>-192.6</v>
      </c>
      <c r="V52" s="6">
        <v>-196</v>
      </c>
      <c r="W52" s="6">
        <v>-199.6</v>
      </c>
      <c r="X52" s="6">
        <v>-203.1</v>
      </c>
      <c r="Y52" s="6">
        <v>-206.8</v>
      </c>
      <c r="Z52" s="6">
        <v>-210.5</v>
      </c>
      <c r="AA52" s="6">
        <v>-214.3</v>
      </c>
      <c r="AB52" s="6">
        <v>-218.2</v>
      </c>
      <c r="AC52" s="6">
        <v>-222.1</v>
      </c>
      <c r="AD52" s="6">
        <v>-226.1</v>
      </c>
      <c r="AE52" s="7"/>
      <c r="AF52" s="6">
        <v>-142.85714285714286</v>
      </c>
      <c r="AG52" s="6">
        <v>-144.0566037735849</v>
      </c>
      <c r="AH52" s="6">
        <v>-167.0967741935484</v>
      </c>
      <c r="AI52" s="6">
        <v>-171.9565217391304</v>
      </c>
      <c r="AJ52" s="6">
        <v>-147.79816513761466</v>
      </c>
      <c r="AK52" s="6">
        <v>-149.09090909090907</v>
      </c>
      <c r="AL52" s="6">
        <v>-175.6842105263158</v>
      </c>
      <c r="AM52" s="6">
        <v>-180.85106382978725</v>
      </c>
      <c r="AN52" s="6">
        <v>-161.6822429906542</v>
      </c>
      <c r="AO52" s="6">
        <v>-163.05555555555554</v>
      </c>
      <c r="AP52" s="6">
        <v>-197.03296703296704</v>
      </c>
      <c r="AQ52" s="6">
        <v>-202.77777777777777</v>
      </c>
      <c r="AR52" s="6">
        <v>-176.95238095238096</v>
      </c>
      <c r="AS52" s="6">
        <v>-178.49056603773582</v>
      </c>
      <c r="AT52" s="6">
        <v>-207.09677419354838</v>
      </c>
      <c r="AU52" s="6">
        <v>-213.04347826086956</v>
      </c>
      <c r="AV52" s="6">
        <v>-183.11926605504584</v>
      </c>
      <c r="AW52" s="6">
        <v>-184.63636363636363</v>
      </c>
      <c r="AX52" s="6">
        <v>-217.6842105263158</v>
      </c>
      <c r="AY52" s="6">
        <v>-223.93617021276597</v>
      </c>
      <c r="AZ52" s="6">
        <v>-200.2803738317757</v>
      </c>
      <c r="BA52" s="6">
        <v>-202.037037037037</v>
      </c>
      <c r="BB52" s="6">
        <v>-244.06593406593404</v>
      </c>
      <c r="BC52" s="6">
        <v>-251.2222222222222</v>
      </c>
    </row>
    <row r="53" ht="15.997499999999997" customHeight="1">
      <c r="A53" s="5" t="s">
        <v>35</v>
      </c>
      <c r="B53" s="5" t="s">
        <v>97</v>
      </c>
      <c r="C53" s="5" t="s">
        <v>98</v>
      </c>
      <c r="D53" s="5">
        <v>6010</v>
      </c>
      <c r="E53" s="5" t="s">
        <v>100</v>
      </c>
      <c r="F53" s="5" t="s">
        <v>39</v>
      </c>
      <c r="G53" s="6">
        <v>-49</v>
      </c>
      <c r="H53" s="6">
        <v>-49.6</v>
      </c>
      <c r="I53" s="6">
        <v>-50.2</v>
      </c>
      <c r="J53" s="6">
        <v>-50.8</v>
      </c>
      <c r="K53" s="6">
        <v>-51.4</v>
      </c>
      <c r="L53" s="6">
        <v>-52</v>
      </c>
      <c r="M53" s="6">
        <v>-52.6</v>
      </c>
      <c r="N53" s="6">
        <v>-53.3</v>
      </c>
      <c r="O53" s="6">
        <v>-53.9</v>
      </c>
      <c r="P53" s="6">
        <v>-54.6</v>
      </c>
      <c r="Q53" s="6">
        <v>-55.2</v>
      </c>
      <c r="R53" s="6">
        <v>-55.9</v>
      </c>
      <c r="S53" s="6">
        <v>-56.5</v>
      </c>
      <c r="T53" s="6">
        <v>-57.2</v>
      </c>
      <c r="U53" s="6">
        <v>-57.9</v>
      </c>
      <c r="V53" s="6">
        <v>-58.6</v>
      </c>
      <c r="W53" s="6">
        <v>-59.3</v>
      </c>
      <c r="X53" s="6">
        <v>-60</v>
      </c>
      <c r="Y53" s="6">
        <v>-60.7</v>
      </c>
      <c r="Z53" s="6">
        <v>-61.5</v>
      </c>
      <c r="AA53" s="6">
        <v>-62.2</v>
      </c>
      <c r="AB53" s="6">
        <v>-62.9</v>
      </c>
      <c r="AC53" s="6">
        <v>-63.7</v>
      </c>
      <c r="AD53" s="6">
        <v>-64.5</v>
      </c>
      <c r="AE53" s="7"/>
      <c r="AF53" s="6">
        <v>-46.22641509433962</v>
      </c>
      <c r="AG53" s="6">
        <v>-46.35514018691589</v>
      </c>
      <c r="AH53" s="6">
        <v>-54.56521739130435</v>
      </c>
      <c r="AI53" s="6">
        <v>-55.82417582417582</v>
      </c>
      <c r="AJ53" s="6">
        <v>-46.72727272727272</v>
      </c>
      <c r="AK53" s="6">
        <v>-49.52380952380952</v>
      </c>
      <c r="AL53" s="6">
        <v>-55.957446808510646</v>
      </c>
      <c r="AM53" s="6">
        <v>-57.31182795698925</v>
      </c>
      <c r="AN53" s="6">
        <v>-49.907407407407405</v>
      </c>
      <c r="AO53" s="6">
        <v>-50.091743119266056</v>
      </c>
      <c r="AP53" s="6">
        <v>-61.333333333333336</v>
      </c>
      <c r="AQ53" s="6">
        <v>-58.8421052631579</v>
      </c>
      <c r="AR53" s="6">
        <v>-53.30188679245283</v>
      </c>
      <c r="AS53" s="6">
        <v>-53.45794392523364</v>
      </c>
      <c r="AT53" s="6">
        <v>-62.93478260869565</v>
      </c>
      <c r="AU53" s="6">
        <v>-64.3956043956044</v>
      </c>
      <c r="AV53" s="6">
        <v>-53.9090909090909</v>
      </c>
      <c r="AW53" s="6">
        <v>-57.14285714285714</v>
      </c>
      <c r="AX53" s="6">
        <v>-64.57446808510639</v>
      </c>
      <c r="AY53" s="6">
        <v>-66.12903225806453</v>
      </c>
      <c r="AZ53" s="6">
        <v>-57.59259259259259</v>
      </c>
      <c r="BA53" s="6">
        <v>-57.70642201834862</v>
      </c>
      <c r="BB53" s="6">
        <v>-70.77777777777779</v>
      </c>
      <c r="BC53" s="6">
        <v>-67.89473684210526</v>
      </c>
    </row>
    <row r="54" ht="15.997499999999997" customHeight="1">
      <c r="A54" s="5" t="s">
        <v>35</v>
      </c>
      <c r="B54" s="5" t="s">
        <v>97</v>
      </c>
      <c r="C54" s="5" t="s">
        <v>98</v>
      </c>
      <c r="D54" s="5">
        <v>6050</v>
      </c>
      <c r="E54" s="5" t="s">
        <v>101</v>
      </c>
      <c r="F54" s="5" t="s">
        <v>39</v>
      </c>
      <c r="G54" s="6">
        <v>-20</v>
      </c>
      <c r="H54" s="6">
        <v>-20.2</v>
      </c>
      <c r="I54" s="6">
        <v>-20.5</v>
      </c>
      <c r="J54" s="6">
        <v>-20.7</v>
      </c>
      <c r="K54" s="6">
        <v>-21</v>
      </c>
      <c r="L54" s="6">
        <v>-21.2</v>
      </c>
      <c r="M54" s="6">
        <v>-21.5</v>
      </c>
      <c r="N54" s="6">
        <v>-21.7</v>
      </c>
      <c r="O54" s="6">
        <v>-22</v>
      </c>
      <c r="P54" s="6">
        <v>-22.3</v>
      </c>
      <c r="Q54" s="6">
        <v>-22.5</v>
      </c>
      <c r="R54" s="6">
        <v>-22.8</v>
      </c>
      <c r="S54" s="6">
        <v>-23.1</v>
      </c>
      <c r="T54" s="6">
        <v>-23.4</v>
      </c>
      <c r="U54" s="6">
        <v>-23.6</v>
      </c>
      <c r="V54" s="6">
        <v>-23.9</v>
      </c>
      <c r="W54" s="6">
        <v>-24.2</v>
      </c>
      <c r="X54" s="6">
        <v>-24.5</v>
      </c>
      <c r="Y54" s="6">
        <v>-24.8</v>
      </c>
      <c r="Z54" s="6">
        <v>-25.1</v>
      </c>
      <c r="AA54" s="6">
        <v>-25.4</v>
      </c>
      <c r="AB54" s="6">
        <v>-25.7</v>
      </c>
      <c r="AC54" s="6">
        <v>-26</v>
      </c>
      <c r="AD54" s="6">
        <v>-26.3</v>
      </c>
      <c r="AE54" s="7"/>
      <c r="AF54" s="6">
        <v>-18.69158878504673</v>
      </c>
      <c r="AG54" s="6">
        <v>-18.703703703703702</v>
      </c>
      <c r="AH54" s="6">
        <v>-22.527472527472526</v>
      </c>
      <c r="AI54" s="6">
        <v>-23</v>
      </c>
      <c r="AJ54" s="6">
        <v>-20</v>
      </c>
      <c r="AK54" s="6">
        <v>-20</v>
      </c>
      <c r="AL54" s="6">
        <v>-23.118279569892476</v>
      </c>
      <c r="AM54" s="6">
        <v>-23.58695652173913</v>
      </c>
      <c r="AN54" s="6">
        <v>-20.183486238532108</v>
      </c>
      <c r="AO54" s="6">
        <v>-20.272727272727273</v>
      </c>
      <c r="AP54" s="6">
        <v>-23.68421052631579</v>
      </c>
      <c r="AQ54" s="6">
        <v>-24.255319148936174</v>
      </c>
      <c r="AR54" s="6">
        <v>-21.588785046728972</v>
      </c>
      <c r="AS54" s="6">
        <v>-21.666666666666664</v>
      </c>
      <c r="AT54" s="6">
        <v>-25.934065934065934</v>
      </c>
      <c r="AU54" s="6">
        <v>-26.555555555555554</v>
      </c>
      <c r="AV54" s="6">
        <v>-23.047619047619047</v>
      </c>
      <c r="AW54" s="6">
        <v>-23.11320754716981</v>
      </c>
      <c r="AX54" s="6">
        <v>-26.666666666666668</v>
      </c>
      <c r="AY54" s="6">
        <v>-27.282608695652176</v>
      </c>
      <c r="AZ54" s="6">
        <v>-23.302752293577978</v>
      </c>
      <c r="BA54" s="6">
        <v>-23.36363636363636</v>
      </c>
      <c r="BB54" s="6">
        <v>-27.36842105263158</v>
      </c>
      <c r="BC54" s="6">
        <v>-27.978723404255323</v>
      </c>
    </row>
    <row r="55" ht="15.997499999999997" customHeight="1">
      <c r="A55" s="8" t="s">
        <v>35</v>
      </c>
      <c r="B55" s="8" t="s">
        <v>97</v>
      </c>
      <c r="C55" s="8" t="s">
        <v>42</v>
      </c>
      <c r="D55" s="8" t="s">
        <v>43</v>
      </c>
      <c r="E55" s="8" t="s">
        <v>102</v>
      </c>
      <c r="F55" s="8" t="s">
        <v>39</v>
      </c>
      <c r="G55" s="9">
        <f t="shared" si="0"/>
        <v>-219</v>
      </c>
      <c r="H55" s="9">
        <f t="shared" si="0"/>
        <v>-222.5</v>
      </c>
      <c r="I55" s="9">
        <f t="shared" si="0"/>
        <v>-226.1</v>
      </c>
      <c r="J55" s="9">
        <f t="shared" si="0"/>
        <v>-229.7</v>
      </c>
      <c r="K55" s="9">
        <f t="shared" si="0"/>
        <v>-233.5</v>
      </c>
      <c r="L55" s="9">
        <f t="shared" si="0"/>
        <v>-237.2</v>
      </c>
      <c r="M55" s="9">
        <f t="shared" si="0"/>
        <v>-241</v>
      </c>
      <c r="N55" s="9">
        <f t="shared" si="0"/>
        <v>-245</v>
      </c>
      <c r="O55" s="9">
        <f t="shared" si="0"/>
        <v>-248.9</v>
      </c>
      <c r="P55" s="9">
        <f t="shared" si="0"/>
        <v>-253</v>
      </c>
      <c r="Q55" s="9">
        <f t="shared" si="0"/>
        <v>-257</v>
      </c>
      <c r="R55" s="9">
        <f t="shared" si="0"/>
        <v>-261.2</v>
      </c>
      <c r="S55" s="9">
        <f t="shared" si="0"/>
        <v>-265.4</v>
      </c>
      <c r="T55" s="9">
        <f t="shared" si="0"/>
        <v>-269.8</v>
      </c>
      <c r="U55" s="9">
        <f t="shared" si="0"/>
        <v>-274.1</v>
      </c>
      <c r="V55" s="9">
        <f t="shared" si="0"/>
        <v>-278.5</v>
      </c>
      <c r="W55" s="9">
        <f t="shared" si="0"/>
        <v>-283.1</v>
      </c>
      <c r="X55" s="9">
        <f t="shared" si="0"/>
        <v>-287.6</v>
      </c>
      <c r="Y55" s="9">
        <f t="shared" si="0"/>
        <v>-292.3</v>
      </c>
      <c r="Z55" s="9">
        <f t="shared" si="0"/>
        <v>-297.1</v>
      </c>
      <c r="AA55" s="9">
        <f t="shared" si="0"/>
        <v>-301.9</v>
      </c>
      <c r="AB55" s="9">
        <f t="shared" si="0"/>
        <v>-306.8</v>
      </c>
      <c r="AC55" s="9">
        <f t="shared" si="0"/>
        <v>-311.8</v>
      </c>
      <c r="AD55" s="9">
        <f t="shared" si="0"/>
        <v>-316.9</v>
      </c>
      <c r="AE55" s="10"/>
      <c r="AF55" s="9">
        <f t="shared" si="0"/>
        <v>-207.775146736529</v>
      </c>
      <c r="AG55" s="9">
        <f t="shared" si="0"/>
        <v>-209.115447664204</v>
      </c>
      <c r="AH55" s="9">
        <f t="shared" si="0"/>
        <v>-244.189464112325</v>
      </c>
      <c r="AI55" s="9">
        <f t="shared" si="0"/>
        <v>-250.780697563306</v>
      </c>
      <c r="AJ55" s="9">
        <f t="shared" si="0"/>
        <v>-214.525437864887</v>
      </c>
      <c r="AK55" s="9">
        <f t="shared" si="0"/>
        <v>-218.614718614719</v>
      </c>
      <c r="AL55" s="9">
        <f t="shared" si="0"/>
        <v>-254.759936904719</v>
      </c>
      <c r="AM55" s="9">
        <f t="shared" si="0"/>
        <v>-261.749848308516</v>
      </c>
      <c r="AN55" s="9">
        <f t="shared" si="0"/>
        <v>-231.773136636594</v>
      </c>
      <c r="AO55" s="9">
        <f t="shared" si="0"/>
        <v>-233.420025947549</v>
      </c>
      <c r="AP55" s="9">
        <f t="shared" si="0"/>
        <v>-282.050510892616</v>
      </c>
      <c r="AQ55" s="9">
        <f t="shared" si="0"/>
        <v>-285.875202189872</v>
      </c>
      <c r="AR55" s="9">
        <f t="shared" si="0"/>
        <v>-251.843052791563</v>
      </c>
      <c r="AS55" s="9">
        <f t="shared" si="0"/>
        <v>-253.615176629636</v>
      </c>
      <c r="AT55" s="9">
        <f t="shared" si="0"/>
        <v>-295.96562273631</v>
      </c>
      <c r="AU55" s="9">
        <f t="shared" si="0"/>
        <v>-303.994638212029</v>
      </c>
      <c r="AV55" s="9">
        <f t="shared" si="0"/>
        <v>-260.075976011756</v>
      </c>
      <c r="AW55" s="9">
        <f t="shared" si="0"/>
        <v>-264.892428326391</v>
      </c>
      <c r="AX55" s="9">
        <f t="shared" si="0"/>
        <v>-308.925345278089</v>
      </c>
      <c r="AY55" s="9">
        <f t="shared" si="0"/>
        <v>-317.347811166483</v>
      </c>
      <c r="AZ55" s="9">
        <f t="shared" si="0"/>
        <v>-281.175718717946</v>
      </c>
      <c r="BA55" s="9">
        <f t="shared" si="0"/>
        <v>-283.107095419022</v>
      </c>
      <c r="BB55" s="9">
        <f t="shared" si="0"/>
        <v>-342.212132896343</v>
      </c>
      <c r="BC55" s="9">
        <f t="shared" si="0"/>
        <v>-347.095682468583</v>
      </c>
    </row>
    <row r="56" ht="15.997499999999997" customHeight="1">
      <c r="A56" s="5" t="s">
        <v>45</v>
      </c>
      <c r="B56" s="5" t="s">
        <v>45</v>
      </c>
      <c r="C56" s="5" t="s">
        <v>45</v>
      </c>
      <c r="D56" s="5" t="s">
        <v>45</v>
      </c>
      <c r="E56" s="5" t="s">
        <v>45</v>
      </c>
      <c r="F56" s="5" t="s">
        <v>45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7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ht="15.997499999999997" customHeight="1">
      <c r="A57" s="5" t="s">
        <v>35</v>
      </c>
      <c r="B57" s="5" t="s">
        <v>103</v>
      </c>
      <c r="C57" s="5" t="s">
        <v>104</v>
      </c>
      <c r="D57" s="5">
        <v>6020</v>
      </c>
      <c r="E57" s="5" t="s">
        <v>105</v>
      </c>
      <c r="F57" s="5" t="s">
        <v>39</v>
      </c>
      <c r="G57" s="6">
        <v>-240.1</v>
      </c>
      <c r="H57" s="6">
        <v>-245.5</v>
      </c>
      <c r="I57" s="6">
        <v>-253.4</v>
      </c>
      <c r="J57" s="6">
        <v>-253.9</v>
      </c>
      <c r="K57" s="6">
        <v>-262.1</v>
      </c>
      <c r="L57" s="6">
        <v>-267.9</v>
      </c>
      <c r="M57" s="6">
        <v>-260.5</v>
      </c>
      <c r="N57" s="6">
        <v>-258.3</v>
      </c>
      <c r="O57" s="6">
        <v>-272.2</v>
      </c>
      <c r="P57" s="6">
        <v>-278.2</v>
      </c>
      <c r="Q57" s="6">
        <v>-289.8</v>
      </c>
      <c r="R57" s="6">
        <v>-307.3</v>
      </c>
      <c r="S57" s="6">
        <v>-277.1</v>
      </c>
      <c r="T57" s="6">
        <v>-283.2</v>
      </c>
      <c r="U57" s="6">
        <v>-292.4</v>
      </c>
      <c r="V57" s="6">
        <v>-293</v>
      </c>
      <c r="W57" s="6">
        <v>-302.5</v>
      </c>
      <c r="X57" s="6">
        <v>-309.1</v>
      </c>
      <c r="Y57" s="6">
        <v>-300.6</v>
      </c>
      <c r="Z57" s="6">
        <v>-298.1</v>
      </c>
      <c r="AA57" s="6">
        <v>-314.1</v>
      </c>
      <c r="AB57" s="6">
        <v>-321</v>
      </c>
      <c r="AC57" s="6">
        <v>-334.4</v>
      </c>
      <c r="AD57" s="6">
        <v>-354.6</v>
      </c>
      <c r="AE57" s="7"/>
      <c r="AF57" s="6">
        <v>-218.27272727272725</v>
      </c>
      <c r="AG57" s="6">
        <v>-233.8095238095238</v>
      </c>
      <c r="AH57" s="6">
        <v>-269.5744680851064</v>
      </c>
      <c r="AI57" s="6">
        <v>-273.0107526881721</v>
      </c>
      <c r="AJ57" s="6">
        <v>-242.6851851851852</v>
      </c>
      <c r="AK57" s="6">
        <v>-245.77981651376143</v>
      </c>
      <c r="AL57" s="6">
        <v>-289.44444444444446</v>
      </c>
      <c r="AM57" s="6">
        <v>-271.89473684210526</v>
      </c>
      <c r="AN57" s="6">
        <v>-256.79245283018867</v>
      </c>
      <c r="AO57" s="6">
        <v>-260</v>
      </c>
      <c r="AP57" s="6">
        <v>-315</v>
      </c>
      <c r="AQ57" s="6">
        <v>-337.6923076923077</v>
      </c>
      <c r="AR57" s="6">
        <v>-251.9090909090909</v>
      </c>
      <c r="AS57" s="6">
        <v>-269.71428571428567</v>
      </c>
      <c r="AT57" s="6">
        <v>-311.06382978723406</v>
      </c>
      <c r="AU57" s="6">
        <v>-315.0537634408602</v>
      </c>
      <c r="AV57" s="6">
        <v>-280.09259259259255</v>
      </c>
      <c r="AW57" s="6">
        <v>-283.57798165137615</v>
      </c>
      <c r="AX57" s="6">
        <v>-334</v>
      </c>
      <c r="AY57" s="6">
        <v>-313.7894736842106</v>
      </c>
      <c r="AZ57" s="6">
        <v>-296.3207547169811</v>
      </c>
      <c r="BA57" s="6">
        <v>-300</v>
      </c>
      <c r="BB57" s="6">
        <v>-363.4782608695652</v>
      </c>
      <c r="BC57" s="6">
        <v>-389.6703296703297</v>
      </c>
    </row>
    <row r="58" ht="15.997499999999997" customHeight="1">
      <c r="A58" s="5" t="s">
        <v>35</v>
      </c>
      <c r="B58" s="5" t="s">
        <v>103</v>
      </c>
      <c r="C58" s="5" t="s">
        <v>104</v>
      </c>
      <c r="D58" s="5">
        <v>6030</v>
      </c>
      <c r="E58" s="5" t="s">
        <v>106</v>
      </c>
      <c r="F58" s="5" t="s">
        <v>39</v>
      </c>
      <c r="G58" s="6">
        <v>-205</v>
      </c>
      <c r="H58" s="6">
        <v>-208.7</v>
      </c>
      <c r="I58" s="6">
        <v>-212.4</v>
      </c>
      <c r="J58" s="6">
        <v>-216.3</v>
      </c>
      <c r="K58" s="6">
        <v>-220.2</v>
      </c>
      <c r="L58" s="6">
        <v>-224.1</v>
      </c>
      <c r="M58" s="6">
        <v>-228.2</v>
      </c>
      <c r="N58" s="6">
        <v>-232.3</v>
      </c>
      <c r="O58" s="6">
        <v>-236.4</v>
      </c>
      <c r="P58" s="6">
        <v>-240.7</v>
      </c>
      <c r="Q58" s="6">
        <v>-245</v>
      </c>
      <c r="R58" s="6">
        <v>-249.4</v>
      </c>
      <c r="S58" s="6">
        <v>-253.9</v>
      </c>
      <c r="T58" s="6">
        <v>-258.5</v>
      </c>
      <c r="U58" s="6">
        <v>-263.2</v>
      </c>
      <c r="V58" s="6">
        <v>-267.9</v>
      </c>
      <c r="W58" s="6">
        <v>-272.7</v>
      </c>
      <c r="X58" s="6">
        <v>-277.6</v>
      </c>
      <c r="Y58" s="6">
        <v>-282.6</v>
      </c>
      <c r="Z58" s="6">
        <v>-287.7</v>
      </c>
      <c r="AA58" s="6">
        <v>-292.9</v>
      </c>
      <c r="AB58" s="6">
        <v>-298.2</v>
      </c>
      <c r="AC58" s="6">
        <v>-303.5</v>
      </c>
      <c r="AD58" s="6">
        <v>-309</v>
      </c>
      <c r="AE58" s="7"/>
      <c r="AF58" s="6">
        <v>-195.23809523809524</v>
      </c>
      <c r="AG58" s="6">
        <v>-196.88679245283018</v>
      </c>
      <c r="AH58" s="6">
        <v>-228.38709677419357</v>
      </c>
      <c r="AI58" s="6">
        <v>-235.1086956521739</v>
      </c>
      <c r="AJ58" s="6">
        <v>-202.0183486238532</v>
      </c>
      <c r="AK58" s="6">
        <v>-203.72727272727272</v>
      </c>
      <c r="AL58" s="6">
        <v>-240.21052631578948</v>
      </c>
      <c r="AM58" s="6">
        <v>-247.1276595744681</v>
      </c>
      <c r="AN58" s="6">
        <v>-220.93457943925233</v>
      </c>
      <c r="AO58" s="6">
        <v>-222.87037037037035</v>
      </c>
      <c r="AP58" s="6">
        <v>-269.2307692307692</v>
      </c>
      <c r="AQ58" s="6">
        <v>-277.1111111111111</v>
      </c>
      <c r="AR58" s="6">
        <v>-241.8095238095238</v>
      </c>
      <c r="AS58" s="6">
        <v>-243.86792452830187</v>
      </c>
      <c r="AT58" s="6">
        <v>-283.01075268817203</v>
      </c>
      <c r="AU58" s="6">
        <v>-291.195652173913</v>
      </c>
      <c r="AV58" s="6">
        <v>-250.18348623853208</v>
      </c>
      <c r="AW58" s="6">
        <v>-252.36363636363637</v>
      </c>
      <c r="AX58" s="6">
        <v>-297.47368421052636</v>
      </c>
      <c r="AY58" s="6">
        <v>-306.06382978723406</v>
      </c>
      <c r="AZ58" s="6">
        <v>-273.7383177570093</v>
      </c>
      <c r="BA58" s="6">
        <v>-276.1111111111111</v>
      </c>
      <c r="BB58" s="6">
        <v>-333.5164835164835</v>
      </c>
      <c r="BC58" s="6">
        <v>-343.3333333333333</v>
      </c>
    </row>
    <row r="59" ht="15.997499999999997" customHeight="1">
      <c r="A59" s="5" t="s">
        <v>35</v>
      </c>
      <c r="B59" s="5" t="s">
        <v>103</v>
      </c>
      <c r="C59" s="5" t="s">
        <v>104</v>
      </c>
      <c r="D59" s="5">
        <v>6040</v>
      </c>
      <c r="E59" s="5" t="s">
        <v>107</v>
      </c>
      <c r="F59" s="5" t="s">
        <v>39</v>
      </c>
      <c r="G59" s="6">
        <v>-109.8</v>
      </c>
      <c r="H59" s="6">
        <v>-112.2</v>
      </c>
      <c r="I59" s="6">
        <v>-115.9</v>
      </c>
      <c r="J59" s="6">
        <v>-116.1</v>
      </c>
      <c r="K59" s="6">
        <v>-119.8</v>
      </c>
      <c r="L59" s="6">
        <v>-122.4</v>
      </c>
      <c r="M59" s="6">
        <v>-119.1</v>
      </c>
      <c r="N59" s="6">
        <v>-118.1</v>
      </c>
      <c r="O59" s="6">
        <v>-124.4</v>
      </c>
      <c r="P59" s="6">
        <v>-127.2</v>
      </c>
      <c r="Q59" s="6">
        <v>-132.5</v>
      </c>
      <c r="R59" s="6">
        <v>-140.5</v>
      </c>
      <c r="S59" s="6">
        <v>-126.7</v>
      </c>
      <c r="T59" s="6">
        <v>-129.5</v>
      </c>
      <c r="U59" s="6">
        <v>-133.7</v>
      </c>
      <c r="V59" s="6">
        <v>-133.9</v>
      </c>
      <c r="W59" s="6">
        <v>-138.3</v>
      </c>
      <c r="X59" s="6">
        <v>-141.3</v>
      </c>
      <c r="Y59" s="6">
        <v>-137.4</v>
      </c>
      <c r="Z59" s="6">
        <v>-136.3</v>
      </c>
      <c r="AA59" s="6">
        <v>-143.6</v>
      </c>
      <c r="AB59" s="6">
        <v>-146.8</v>
      </c>
      <c r="AC59" s="6">
        <v>-152.9</v>
      </c>
      <c r="AD59" s="6">
        <v>-162.1</v>
      </c>
      <c r="AE59" s="7"/>
      <c r="AF59" s="6">
        <v>-103.58490566037734</v>
      </c>
      <c r="AG59" s="6">
        <v>-104.85981308411215</v>
      </c>
      <c r="AH59" s="6">
        <v>-125.97826086956522</v>
      </c>
      <c r="AI59" s="6">
        <v>-127.58241758241758</v>
      </c>
      <c r="AJ59" s="6">
        <v>-108.90909090909089</v>
      </c>
      <c r="AK59" s="6">
        <v>-116.57142857142857</v>
      </c>
      <c r="AL59" s="6">
        <v>-126.70212765957447</v>
      </c>
      <c r="AM59" s="6">
        <v>-126.98924731182795</v>
      </c>
      <c r="AN59" s="6">
        <v>-115.18518518518518</v>
      </c>
      <c r="AO59" s="6">
        <v>-116.69724770642202</v>
      </c>
      <c r="AP59" s="6">
        <v>-147.22222222222223</v>
      </c>
      <c r="AQ59" s="6">
        <v>-147.89473684210526</v>
      </c>
      <c r="AR59" s="6">
        <v>-119.52830188679245</v>
      </c>
      <c r="AS59" s="6">
        <v>-121.02803738317756</v>
      </c>
      <c r="AT59" s="6">
        <v>-145.32608695652172</v>
      </c>
      <c r="AU59" s="6">
        <v>-147.14285714285714</v>
      </c>
      <c r="AV59" s="6">
        <v>-125.72727272727273</v>
      </c>
      <c r="AW59" s="6">
        <v>-134.57142857142858</v>
      </c>
      <c r="AX59" s="6">
        <v>-146.17021276595747</v>
      </c>
      <c r="AY59" s="6">
        <v>-146.55913978494627</v>
      </c>
      <c r="AZ59" s="6">
        <v>-132.96296296296296</v>
      </c>
      <c r="BA59" s="6">
        <v>-134.67889908256882</v>
      </c>
      <c r="BB59" s="6">
        <v>-169.88888888888889</v>
      </c>
      <c r="BC59" s="6">
        <v>-170.6315789473684</v>
      </c>
    </row>
    <row r="60" ht="15.997499999999997" customHeight="1">
      <c r="A60" s="5" t="s">
        <v>35</v>
      </c>
      <c r="B60" s="5" t="s">
        <v>103</v>
      </c>
      <c r="C60" s="5" t="s">
        <v>104</v>
      </c>
      <c r="D60" s="5">
        <v>6060</v>
      </c>
      <c r="E60" s="5" t="s">
        <v>108</v>
      </c>
      <c r="F60" s="5" t="s">
        <v>39</v>
      </c>
      <c r="G60" s="6">
        <v>-86.2</v>
      </c>
      <c r="H60" s="6">
        <v>-88.2</v>
      </c>
      <c r="I60" s="6">
        <v>-91</v>
      </c>
      <c r="J60" s="6">
        <v>-91.2</v>
      </c>
      <c r="K60" s="6">
        <v>-94.1</v>
      </c>
      <c r="L60" s="6">
        <v>-96.2</v>
      </c>
      <c r="M60" s="6">
        <v>-93.6</v>
      </c>
      <c r="N60" s="6">
        <v>-92.8</v>
      </c>
      <c r="O60" s="6">
        <v>-97.8</v>
      </c>
      <c r="P60" s="6">
        <v>-99.9</v>
      </c>
      <c r="Q60" s="6">
        <v>-104.1</v>
      </c>
      <c r="R60" s="6">
        <v>-110.4</v>
      </c>
      <c r="S60" s="6">
        <v>-99.5</v>
      </c>
      <c r="T60" s="6">
        <v>-101.7</v>
      </c>
      <c r="U60" s="6">
        <v>-105</v>
      </c>
      <c r="V60" s="6">
        <v>-105.2</v>
      </c>
      <c r="W60" s="6">
        <v>-108.6</v>
      </c>
      <c r="X60" s="6">
        <v>-111</v>
      </c>
      <c r="Y60" s="6">
        <v>-108</v>
      </c>
      <c r="Z60" s="6">
        <v>-107.1</v>
      </c>
      <c r="AA60" s="6">
        <v>-112.8</v>
      </c>
      <c r="AB60" s="6">
        <v>-115.3</v>
      </c>
      <c r="AC60" s="6">
        <v>-120.1</v>
      </c>
      <c r="AD60" s="6">
        <v>-127.4</v>
      </c>
      <c r="AE60" s="7"/>
      <c r="AF60" s="6">
        <v>-80.5607476635514</v>
      </c>
      <c r="AG60" s="6">
        <v>-81.66666666666666</v>
      </c>
      <c r="AH60" s="6">
        <v>-100</v>
      </c>
      <c r="AI60" s="6">
        <v>-101.33333333333333</v>
      </c>
      <c r="AJ60" s="6">
        <v>-89.6190476190476</v>
      </c>
      <c r="AK60" s="6">
        <v>-90.75471698113208</v>
      </c>
      <c r="AL60" s="6">
        <v>-100.64516129032258</v>
      </c>
      <c r="AM60" s="6">
        <v>-100.8695652173913</v>
      </c>
      <c r="AN60" s="6">
        <v>-89.72477064220183</v>
      </c>
      <c r="AO60" s="6">
        <v>-90.81818181818181</v>
      </c>
      <c r="AP60" s="6">
        <v>-109.57894736842105</v>
      </c>
      <c r="AQ60" s="6">
        <v>-117.4468085106383</v>
      </c>
      <c r="AR60" s="6">
        <v>-92.99065420560747</v>
      </c>
      <c r="AS60" s="6">
        <v>-94.16666666666666</v>
      </c>
      <c r="AT60" s="6">
        <v>-115.38461538461539</v>
      </c>
      <c r="AU60" s="6">
        <v>-116.88888888888889</v>
      </c>
      <c r="AV60" s="6">
        <v>-103.42857142857142</v>
      </c>
      <c r="AW60" s="6">
        <v>-104.71698113207546</v>
      </c>
      <c r="AX60" s="6">
        <v>-116.12903225806453</v>
      </c>
      <c r="AY60" s="6">
        <v>-116.41304347826086</v>
      </c>
      <c r="AZ60" s="6">
        <v>-103.48623853211008</v>
      </c>
      <c r="BA60" s="6">
        <v>-104.81818181818181</v>
      </c>
      <c r="BB60" s="6">
        <v>-126.42105263157895</v>
      </c>
      <c r="BC60" s="6">
        <v>-135.53191489361703</v>
      </c>
    </row>
    <row r="61" ht="15.997499999999997" customHeight="1">
      <c r="A61" s="8" t="s">
        <v>35</v>
      </c>
      <c r="B61" s="8" t="s">
        <v>103</v>
      </c>
      <c r="C61" s="8" t="s">
        <v>42</v>
      </c>
      <c r="D61" s="8" t="s">
        <v>43</v>
      </c>
      <c r="E61" s="8" t="s">
        <v>109</v>
      </c>
      <c r="F61" s="8" t="s">
        <v>39</v>
      </c>
      <c r="G61" s="9">
        <f t="shared" si="3" ref="G61:BC93">SUM(G57:G60)</f>
        <v>-641.1</v>
      </c>
      <c r="H61" s="9">
        <f t="shared" si="3"/>
        <v>-654.6</v>
      </c>
      <c r="I61" s="9">
        <f t="shared" si="3"/>
        <v>-672.7</v>
      </c>
      <c r="J61" s="9">
        <f t="shared" si="3"/>
        <v>-677.5</v>
      </c>
      <c r="K61" s="9">
        <f t="shared" si="3"/>
        <v>-696.2</v>
      </c>
      <c r="L61" s="9">
        <f t="shared" si="3"/>
        <v>-710.6</v>
      </c>
      <c r="M61" s="9">
        <f t="shared" si="3"/>
        <v>-701.4</v>
      </c>
      <c r="N61" s="9">
        <f t="shared" si="3"/>
        <v>-701.5</v>
      </c>
      <c r="O61" s="9">
        <f t="shared" si="3"/>
        <v>-730.8</v>
      </c>
      <c r="P61" s="9">
        <f t="shared" si="3"/>
        <v>-746</v>
      </c>
      <c r="Q61" s="9">
        <f t="shared" si="3"/>
        <v>-771.4</v>
      </c>
      <c r="R61" s="9">
        <f t="shared" si="3"/>
        <v>-807.6</v>
      </c>
      <c r="S61" s="9">
        <f t="shared" si="3"/>
        <v>-757.2</v>
      </c>
      <c r="T61" s="9">
        <f t="shared" si="3"/>
        <v>-772.9</v>
      </c>
      <c r="U61" s="9">
        <f t="shared" si="3"/>
        <v>-794.3</v>
      </c>
      <c r="V61" s="9">
        <f t="shared" si="3"/>
        <v>-800</v>
      </c>
      <c r="W61" s="9">
        <f t="shared" si="3"/>
        <v>-822.1</v>
      </c>
      <c r="X61" s="9">
        <f t="shared" si="3"/>
        <v>-839</v>
      </c>
      <c r="Y61" s="9">
        <f t="shared" si="3"/>
        <v>-828.6</v>
      </c>
      <c r="Z61" s="9">
        <f t="shared" si="3"/>
        <v>-829.2</v>
      </c>
      <c r="AA61" s="9">
        <f t="shared" si="3"/>
        <v>-863.4</v>
      </c>
      <c r="AB61" s="9">
        <f t="shared" si="3"/>
        <v>-881.3</v>
      </c>
      <c r="AC61" s="9">
        <f t="shared" si="3"/>
        <v>-910.9</v>
      </c>
      <c r="AD61" s="9">
        <f t="shared" si="3"/>
        <v>-953.1</v>
      </c>
      <c r="AE61" s="10"/>
      <c r="AF61" s="9">
        <f t="shared" si="3"/>
        <v>-597.656475834751</v>
      </c>
      <c r="AG61" s="9">
        <f t="shared" si="3"/>
        <v>-617.222796013133</v>
      </c>
      <c r="AH61" s="9">
        <f t="shared" si="3"/>
        <v>-723.939825728865</v>
      </c>
      <c r="AI61" s="9">
        <f t="shared" si="3"/>
        <v>-737.035199256097</v>
      </c>
      <c r="AJ61" s="9">
        <f t="shared" si="3"/>
        <v>-643.231672337177</v>
      </c>
      <c r="AK61" s="9">
        <f t="shared" si="3"/>
        <v>-656.833234793595</v>
      </c>
      <c r="AL61" s="9">
        <f t="shared" si="3"/>
        <v>-757.002259710131</v>
      </c>
      <c r="AM61" s="9">
        <f t="shared" si="3"/>
        <v>-746.881208945793</v>
      </c>
      <c r="AN61" s="9">
        <f t="shared" si="3"/>
        <v>-682.636988096828</v>
      </c>
      <c r="AO61" s="9">
        <f t="shared" si="3"/>
        <v>-690.385799894974</v>
      </c>
      <c r="AP61" s="9">
        <f t="shared" si="3"/>
        <v>-841.031938821412</v>
      </c>
      <c r="AQ61" s="9">
        <f t="shared" si="3"/>
        <v>-880.144964156162</v>
      </c>
      <c r="AR61" s="9">
        <f t="shared" si="3"/>
        <v>-706.237570811015</v>
      </c>
      <c r="AS61" s="9">
        <f t="shared" si="3"/>
        <v>-728.776914292432</v>
      </c>
      <c r="AT61" s="9">
        <f t="shared" si="3"/>
        <v>-854.785284816543</v>
      </c>
      <c r="AU61" s="9">
        <f t="shared" si="3"/>
        <v>-870.281161646519</v>
      </c>
      <c r="AV61" s="9">
        <f t="shared" si="3"/>
        <v>-759.431922986969</v>
      </c>
      <c r="AW61" s="9">
        <f t="shared" si="3"/>
        <v>-775.230027718517</v>
      </c>
      <c r="AX61" s="9">
        <f t="shared" si="3"/>
        <v>-893.772929234548</v>
      </c>
      <c r="AY61" s="9">
        <f t="shared" si="3"/>
        <v>-882.825486734652</v>
      </c>
      <c r="AZ61" s="9">
        <f t="shared" si="3"/>
        <v>-806.508273969063</v>
      </c>
      <c r="BA61" s="9">
        <f t="shared" si="3"/>
        <v>-815.608192011862</v>
      </c>
      <c r="BB61" s="9">
        <f t="shared" si="3"/>
        <v>-993.304685906517</v>
      </c>
      <c r="BC61" s="9">
        <f t="shared" si="3"/>
        <v>-1039.16715684465</v>
      </c>
    </row>
    <row r="62" ht="15.997499999999997" customHeight="1">
      <c r="A62" s="5" t="s">
        <v>45</v>
      </c>
      <c r="B62" s="5" t="s">
        <v>45</v>
      </c>
      <c r="C62" s="5" t="s">
        <v>45</v>
      </c>
      <c r="D62" s="5" t="s">
        <v>45</v>
      </c>
      <c r="E62" s="5" t="s">
        <v>45</v>
      </c>
      <c r="F62" s="5" t="s">
        <v>45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7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</row>
    <row r="63" ht="15.997499999999997" customHeight="1">
      <c r="A63" s="5" t="s">
        <v>35</v>
      </c>
      <c r="B63" s="5" t="s">
        <v>110</v>
      </c>
      <c r="C63" s="5" t="s">
        <v>111</v>
      </c>
      <c r="D63" s="5">
        <v>6100</v>
      </c>
      <c r="E63" s="5" t="s">
        <v>112</v>
      </c>
      <c r="F63" s="5" t="s">
        <v>39</v>
      </c>
      <c r="G63" s="6">
        <v>-805</v>
      </c>
      <c r="H63" s="6">
        <v>-819.5</v>
      </c>
      <c r="I63" s="6">
        <v>-834.2</v>
      </c>
      <c r="J63" s="6">
        <v>-849.3</v>
      </c>
      <c r="K63" s="6">
        <v>-864.5</v>
      </c>
      <c r="L63" s="6">
        <v>-880.1</v>
      </c>
      <c r="M63" s="6">
        <v>-895.9</v>
      </c>
      <c r="N63" s="6">
        <v>-912.1</v>
      </c>
      <c r="O63" s="6">
        <v>-928.5</v>
      </c>
      <c r="P63" s="6">
        <v>-945.2</v>
      </c>
      <c r="Q63" s="6">
        <v>-962.2</v>
      </c>
      <c r="R63" s="6">
        <v>-979.5</v>
      </c>
      <c r="S63" s="6">
        <v>-997.2</v>
      </c>
      <c r="T63" s="6">
        <v>-1015.1</v>
      </c>
      <c r="U63" s="6">
        <v>-1033.4</v>
      </c>
      <c r="V63" s="6">
        <v>-1052</v>
      </c>
      <c r="W63" s="6">
        <v>-1070.9</v>
      </c>
      <c r="X63" s="6">
        <v>-1090.2</v>
      </c>
      <c r="Y63" s="6">
        <v>-1109.8</v>
      </c>
      <c r="Z63" s="6">
        <v>-1129.8</v>
      </c>
      <c r="AA63" s="6">
        <v>-1150.1</v>
      </c>
      <c r="AB63" s="6">
        <v>-1170.8</v>
      </c>
      <c r="AC63" s="6">
        <v>-1191.9</v>
      </c>
      <c r="AD63" s="6">
        <v>-1213.4</v>
      </c>
      <c r="AE63" s="7"/>
      <c r="AF63" s="6">
        <v>-731.8181818181818</v>
      </c>
      <c r="AG63" s="6">
        <v>-780.4761904761905</v>
      </c>
      <c r="AH63" s="6">
        <v>-887.4468085106384</v>
      </c>
      <c r="AI63" s="6">
        <v>-913.2258064516129</v>
      </c>
      <c r="AJ63" s="6">
        <v>-800.4629629629629</v>
      </c>
      <c r="AK63" s="6">
        <v>-807.4311926605504</v>
      </c>
      <c r="AL63" s="6">
        <v>-995.4444444444443</v>
      </c>
      <c r="AM63" s="6">
        <v>-960.1052631578948</v>
      </c>
      <c r="AN63" s="6">
        <v>-875.9433962264151</v>
      </c>
      <c r="AO63" s="6">
        <v>-883.3644859813083</v>
      </c>
      <c r="AP63" s="6">
        <v>-1045.8695652173913</v>
      </c>
      <c r="AQ63" s="6">
        <v>-1076.3736263736264</v>
      </c>
      <c r="AR63" s="6">
        <v>-906.5454545454545</v>
      </c>
      <c r="AS63" s="6">
        <v>-966.7619047619047</v>
      </c>
      <c r="AT63" s="6">
        <v>-1099.3617021276598</v>
      </c>
      <c r="AU63" s="6">
        <v>-1131.1827956989248</v>
      </c>
      <c r="AV63" s="6">
        <v>-991.5740740740741</v>
      </c>
      <c r="AW63" s="6">
        <v>-1000.183486238532</v>
      </c>
      <c r="AX63" s="6">
        <v>-1233.111111111111</v>
      </c>
      <c r="AY63" s="6">
        <v>-1189.2631578947369</v>
      </c>
      <c r="AZ63" s="6">
        <v>-1084.9999999999998</v>
      </c>
      <c r="BA63" s="6">
        <v>-1094.2056074766354</v>
      </c>
      <c r="BB63" s="6">
        <v>-1295.5434782608695</v>
      </c>
      <c r="BC63" s="6">
        <v>-1333.4065934065934</v>
      </c>
    </row>
    <row r="64" ht="15.997499999999997" customHeight="1">
      <c r="A64" s="5" t="s">
        <v>35</v>
      </c>
      <c r="B64" s="5" t="s">
        <v>110</v>
      </c>
      <c r="C64" s="5" t="s">
        <v>111</v>
      </c>
      <c r="D64" s="5">
        <v>6120</v>
      </c>
      <c r="E64" s="5" t="s">
        <v>113</v>
      </c>
      <c r="F64" s="5" t="s">
        <v>39</v>
      </c>
      <c r="G64" s="6">
        <v>-142</v>
      </c>
      <c r="H64" s="6">
        <v>-143.7</v>
      </c>
      <c r="I64" s="6">
        <v>-145.4</v>
      </c>
      <c r="J64" s="6">
        <v>-147.2</v>
      </c>
      <c r="K64" s="6">
        <v>-148.9</v>
      </c>
      <c r="L64" s="6">
        <v>-150.7</v>
      </c>
      <c r="M64" s="6">
        <v>-152.5</v>
      </c>
      <c r="N64" s="6">
        <v>-154.4</v>
      </c>
      <c r="O64" s="6">
        <v>-156.2</v>
      </c>
      <c r="P64" s="6">
        <v>-158.1</v>
      </c>
      <c r="Q64" s="6">
        <v>-160</v>
      </c>
      <c r="R64" s="6">
        <v>-161.9</v>
      </c>
      <c r="S64" s="6">
        <v>-163.9</v>
      </c>
      <c r="T64" s="6">
        <v>-165.8</v>
      </c>
      <c r="U64" s="6">
        <v>-167.8</v>
      </c>
      <c r="V64" s="6">
        <v>-169.8</v>
      </c>
      <c r="W64" s="6">
        <v>-171.9</v>
      </c>
      <c r="X64" s="6">
        <v>-173.9</v>
      </c>
      <c r="Y64" s="6">
        <v>-176</v>
      </c>
      <c r="Z64" s="6">
        <v>-178.1</v>
      </c>
      <c r="AA64" s="6">
        <v>-180.3</v>
      </c>
      <c r="AB64" s="6">
        <v>-182.4</v>
      </c>
      <c r="AC64" s="6">
        <v>-184.6</v>
      </c>
      <c r="AD64" s="6">
        <v>-186.8</v>
      </c>
      <c r="AE64" s="7"/>
      <c r="AF64" s="6">
        <v>-135.23809523809524</v>
      </c>
      <c r="AG64" s="6">
        <v>-135.56603773584905</v>
      </c>
      <c r="AH64" s="6">
        <v>-156.3440860215054</v>
      </c>
      <c r="AI64" s="6">
        <v>-159.99999999999997</v>
      </c>
      <c r="AJ64" s="6">
        <v>-136.60550458715596</v>
      </c>
      <c r="AK64" s="6">
        <v>-136.99999999999997</v>
      </c>
      <c r="AL64" s="6">
        <v>-160.5263157894737</v>
      </c>
      <c r="AM64" s="6">
        <v>-164.2553191489362</v>
      </c>
      <c r="AN64" s="6">
        <v>-145.98130841121494</v>
      </c>
      <c r="AO64" s="6">
        <v>-146.38888888888889</v>
      </c>
      <c r="AP64" s="6">
        <v>-175.82417582417582</v>
      </c>
      <c r="AQ64" s="6">
        <v>-179.88888888888889</v>
      </c>
      <c r="AR64" s="6">
        <v>-156.0952380952381</v>
      </c>
      <c r="AS64" s="6">
        <v>-156.41509433962264</v>
      </c>
      <c r="AT64" s="6">
        <v>-180.43010752688176</v>
      </c>
      <c r="AU64" s="6">
        <v>-184.56521739130434</v>
      </c>
      <c r="AV64" s="6">
        <v>-157.7064220183486</v>
      </c>
      <c r="AW64" s="6">
        <v>-158.0909090909091</v>
      </c>
      <c r="AX64" s="6">
        <v>-185.26315789473685</v>
      </c>
      <c r="AY64" s="6">
        <v>-189.46808510638297</v>
      </c>
      <c r="AZ64" s="6">
        <v>-168.50467289719626</v>
      </c>
      <c r="BA64" s="6">
        <v>-168.88888888888889</v>
      </c>
      <c r="BB64" s="6">
        <v>-202.85714285714283</v>
      </c>
      <c r="BC64" s="6">
        <v>-207.55555555555557</v>
      </c>
    </row>
    <row r="65" ht="15.997499999999997" customHeight="1">
      <c r="A65" s="5" t="s">
        <v>35</v>
      </c>
      <c r="B65" s="5" t="s">
        <v>110</v>
      </c>
      <c r="C65" s="5" t="s">
        <v>111</v>
      </c>
      <c r="D65" s="5">
        <v>6130</v>
      </c>
      <c r="E65" s="5" t="s">
        <v>114</v>
      </c>
      <c r="F65" s="5" t="s">
        <v>39</v>
      </c>
      <c r="G65" s="6">
        <v>-92</v>
      </c>
      <c r="H65" s="6">
        <v>-93.1</v>
      </c>
      <c r="I65" s="6">
        <v>-94.2</v>
      </c>
      <c r="J65" s="6">
        <v>-95.4</v>
      </c>
      <c r="K65" s="6">
        <v>-96.5</v>
      </c>
      <c r="L65" s="6">
        <v>-97.7</v>
      </c>
      <c r="M65" s="6">
        <v>-98.8</v>
      </c>
      <c r="N65" s="6">
        <v>-100</v>
      </c>
      <c r="O65" s="6">
        <v>-101.2</v>
      </c>
      <c r="P65" s="6">
        <v>-102.4</v>
      </c>
      <c r="Q65" s="6">
        <v>-103.7</v>
      </c>
      <c r="R65" s="6">
        <v>-104.9</v>
      </c>
      <c r="S65" s="6">
        <v>-106.2</v>
      </c>
      <c r="T65" s="6">
        <v>-107.4</v>
      </c>
      <c r="U65" s="6">
        <v>-108.7</v>
      </c>
      <c r="V65" s="6">
        <v>-110</v>
      </c>
      <c r="W65" s="6">
        <v>-111.3</v>
      </c>
      <c r="X65" s="6">
        <v>-112.7</v>
      </c>
      <c r="Y65" s="6">
        <v>-114</v>
      </c>
      <c r="Z65" s="6">
        <v>-115.4</v>
      </c>
      <c r="AA65" s="6">
        <v>-116.8</v>
      </c>
      <c r="AB65" s="6">
        <v>-118.2</v>
      </c>
      <c r="AC65" s="6">
        <v>-119.6</v>
      </c>
      <c r="AD65" s="6">
        <v>-121</v>
      </c>
      <c r="AE65" s="7"/>
      <c r="AF65" s="6">
        <v>-86.79245283018868</v>
      </c>
      <c r="AG65" s="6">
        <v>-87.00934579439252</v>
      </c>
      <c r="AH65" s="6">
        <v>-102.39130434782608</v>
      </c>
      <c r="AI65" s="6">
        <v>-104.83516483516483</v>
      </c>
      <c r="AJ65" s="6">
        <v>-87.72727272727272</v>
      </c>
      <c r="AK65" s="6">
        <v>-93.04761904761905</v>
      </c>
      <c r="AL65" s="6">
        <v>-105.1063829787234</v>
      </c>
      <c r="AM65" s="6">
        <v>-107.52688172043011</v>
      </c>
      <c r="AN65" s="6">
        <v>-93.7037037037037</v>
      </c>
      <c r="AO65" s="6">
        <v>-93.94495412844037</v>
      </c>
      <c r="AP65" s="6">
        <v>-115.22222222222223</v>
      </c>
      <c r="AQ65" s="6">
        <v>-110.42105263157896</v>
      </c>
      <c r="AR65" s="6">
        <v>-100.18867924528301</v>
      </c>
      <c r="AS65" s="6">
        <v>-100.37383177570094</v>
      </c>
      <c r="AT65" s="6">
        <v>-118.15217391304347</v>
      </c>
      <c r="AU65" s="6">
        <v>-120.87912087912088</v>
      </c>
      <c r="AV65" s="6">
        <v>-101.18181818181817</v>
      </c>
      <c r="AW65" s="6">
        <v>-107.33333333333333</v>
      </c>
      <c r="AX65" s="6">
        <v>-121.27659574468086</v>
      </c>
      <c r="AY65" s="6">
        <v>-124.08602150537637</v>
      </c>
      <c r="AZ65" s="6">
        <v>-108.14814814814814</v>
      </c>
      <c r="BA65" s="6">
        <v>-108.44036697247707</v>
      </c>
      <c r="BB65" s="6">
        <v>-132.88888888888889</v>
      </c>
      <c r="BC65" s="6">
        <v>-127.36842105263159</v>
      </c>
    </row>
    <row r="66" ht="15.997499999999997" customHeight="1">
      <c r="A66" s="5" t="s">
        <v>35</v>
      </c>
      <c r="B66" s="5" t="s">
        <v>110</v>
      </c>
      <c r="C66" s="5" t="s">
        <v>111</v>
      </c>
      <c r="D66" s="5">
        <v>6140</v>
      </c>
      <c r="E66" s="5" t="s">
        <v>115</v>
      </c>
      <c r="F66" s="5" t="s">
        <v>39</v>
      </c>
      <c r="G66" s="6">
        <v>-40.2</v>
      </c>
      <c r="H66" s="6">
        <v>-41.1</v>
      </c>
      <c r="I66" s="6">
        <v>-42.4</v>
      </c>
      <c r="J66" s="6">
        <v>-42.5</v>
      </c>
      <c r="K66" s="6">
        <v>-43.9</v>
      </c>
      <c r="L66" s="6">
        <v>-44.8</v>
      </c>
      <c r="M66" s="6">
        <v>-43.6</v>
      </c>
      <c r="N66" s="6">
        <v>-43.2</v>
      </c>
      <c r="O66" s="6">
        <v>-45.6</v>
      </c>
      <c r="P66" s="6">
        <v>-46.6</v>
      </c>
      <c r="Q66" s="6">
        <v>-48.5</v>
      </c>
      <c r="R66" s="6">
        <v>-51.4</v>
      </c>
      <c r="S66" s="6">
        <v>-46.4</v>
      </c>
      <c r="T66" s="6">
        <v>-47.4</v>
      </c>
      <c r="U66" s="6">
        <v>-48.9</v>
      </c>
      <c r="V66" s="6">
        <v>-49</v>
      </c>
      <c r="W66" s="6">
        <v>-50.6</v>
      </c>
      <c r="X66" s="6">
        <v>-51.7</v>
      </c>
      <c r="Y66" s="6">
        <v>-50.3</v>
      </c>
      <c r="Z66" s="6">
        <v>-49.9</v>
      </c>
      <c r="AA66" s="6">
        <v>-52.6</v>
      </c>
      <c r="AB66" s="6">
        <v>-53.7</v>
      </c>
      <c r="AC66" s="6">
        <v>-56</v>
      </c>
      <c r="AD66" s="6">
        <v>-59.3</v>
      </c>
      <c r="AE66" s="7"/>
      <c r="AF66" s="6">
        <v>-37.570093457943926</v>
      </c>
      <c r="AG66" s="6">
        <v>-38.05555555555556</v>
      </c>
      <c r="AH66" s="6">
        <v>-46.59340659340659</v>
      </c>
      <c r="AI66" s="6">
        <v>-47.22222222222222</v>
      </c>
      <c r="AJ66" s="6">
        <v>-41.8095238095238</v>
      </c>
      <c r="AK66" s="6">
        <v>-42.264150943396224</v>
      </c>
      <c r="AL66" s="6">
        <v>-46.881720430107535</v>
      </c>
      <c r="AM66" s="6">
        <v>-46.95652173913044</v>
      </c>
      <c r="AN66" s="6">
        <v>-41.8348623853211</v>
      </c>
      <c r="AO66" s="6">
        <v>-42.36363636363636</v>
      </c>
      <c r="AP66" s="6">
        <v>-51.05263157894737</v>
      </c>
      <c r="AQ66" s="6">
        <v>-54.68085106382979</v>
      </c>
      <c r="AR66" s="6">
        <v>-43.364485981308405</v>
      </c>
      <c r="AS66" s="6">
        <v>-43.888888888888886</v>
      </c>
      <c r="AT66" s="6">
        <v>-53.73626373626373</v>
      </c>
      <c r="AU66" s="6">
        <v>-54.44444444444444</v>
      </c>
      <c r="AV66" s="6">
        <v>-48.19047619047619</v>
      </c>
      <c r="AW66" s="6">
        <v>-48.77358490566038</v>
      </c>
      <c r="AX66" s="6">
        <v>-54.086021505376344</v>
      </c>
      <c r="AY66" s="6">
        <v>-54.2391304347826</v>
      </c>
      <c r="AZ66" s="6">
        <v>-48.25688073394495</v>
      </c>
      <c r="BA66" s="6">
        <v>-48.81818181818182</v>
      </c>
      <c r="BB66" s="6">
        <v>-58.94736842105264</v>
      </c>
      <c r="BC66" s="6">
        <v>-63.08510638297872</v>
      </c>
    </row>
    <row r="67" ht="15.997499999999997" customHeight="1">
      <c r="A67" s="8" t="s">
        <v>35</v>
      </c>
      <c r="B67" s="8" t="s">
        <v>110</v>
      </c>
      <c r="C67" s="8" t="s">
        <v>42</v>
      </c>
      <c r="D67" s="8" t="s">
        <v>43</v>
      </c>
      <c r="E67" s="8" t="s">
        <v>116</v>
      </c>
      <c r="F67" s="8" t="s">
        <v>39</v>
      </c>
      <c r="G67" s="9">
        <f t="shared" si="3"/>
        <v>-1079.2</v>
      </c>
      <c r="H67" s="9">
        <f t="shared" si="3"/>
        <v>-1097.4</v>
      </c>
      <c r="I67" s="9">
        <f t="shared" si="3"/>
        <v>-1116.2</v>
      </c>
      <c r="J67" s="9">
        <f t="shared" si="3"/>
        <v>-1134.4</v>
      </c>
      <c r="K67" s="9">
        <f t="shared" si="3"/>
        <v>-1153.8</v>
      </c>
      <c r="L67" s="9">
        <f t="shared" si="3"/>
        <v>-1173.3</v>
      </c>
      <c r="M67" s="9">
        <f t="shared" si="3"/>
        <v>-1190.8</v>
      </c>
      <c r="N67" s="9">
        <f t="shared" si="3"/>
        <v>-1209.7</v>
      </c>
      <c r="O67" s="9">
        <f t="shared" si="3"/>
        <v>-1231.5</v>
      </c>
      <c r="P67" s="9">
        <f t="shared" si="3"/>
        <v>-1252.3</v>
      </c>
      <c r="Q67" s="9">
        <f t="shared" si="3"/>
        <v>-1274.4</v>
      </c>
      <c r="R67" s="9">
        <f t="shared" si="3"/>
        <v>-1297.7</v>
      </c>
      <c r="S67" s="9">
        <f t="shared" si="3"/>
        <v>-1313.7</v>
      </c>
      <c r="T67" s="9">
        <f t="shared" si="3"/>
        <v>-1335.7</v>
      </c>
      <c r="U67" s="9">
        <f t="shared" si="3"/>
        <v>-1358.8</v>
      </c>
      <c r="V67" s="9">
        <f t="shared" si="3"/>
        <v>-1380.8</v>
      </c>
      <c r="W67" s="9">
        <f t="shared" si="3"/>
        <v>-1404.7</v>
      </c>
      <c r="X67" s="9">
        <f t="shared" si="3"/>
        <v>-1428.5</v>
      </c>
      <c r="Y67" s="9">
        <f t="shared" si="3"/>
        <v>-1450.1</v>
      </c>
      <c r="Z67" s="9">
        <f t="shared" si="3"/>
        <v>-1473.2</v>
      </c>
      <c r="AA67" s="9">
        <f t="shared" si="3"/>
        <v>-1499.8</v>
      </c>
      <c r="AB67" s="9">
        <f t="shared" si="3"/>
        <v>-1525.1</v>
      </c>
      <c r="AC67" s="9">
        <f t="shared" si="3"/>
        <v>-1552.1</v>
      </c>
      <c r="AD67" s="9">
        <f t="shared" si="3"/>
        <v>-1580.5</v>
      </c>
      <c r="AE67" s="10"/>
      <c r="AF67" s="9">
        <f t="shared" si="3"/>
        <v>-991.41882334441</v>
      </c>
      <c r="AG67" s="9">
        <f t="shared" si="3"/>
        <v>-1041.10712956199</v>
      </c>
      <c r="AH67" s="9">
        <f t="shared" si="3"/>
        <v>-1192.77560547338</v>
      </c>
      <c r="AI67" s="9">
        <f t="shared" si="3"/>
        <v>-1225.283193509</v>
      </c>
      <c r="AJ67" s="9">
        <f t="shared" si="3"/>
        <v>-1066.60526408692</v>
      </c>
      <c r="AK67" s="9">
        <f t="shared" si="3"/>
        <v>-1079.74296265157</v>
      </c>
      <c r="AL67" s="9">
        <f t="shared" si="3"/>
        <v>-1307.95886364275</v>
      </c>
      <c r="AM67" s="9">
        <f t="shared" si="3"/>
        <v>-1278.84398576639</v>
      </c>
      <c r="AN67" s="9">
        <f t="shared" si="3"/>
        <v>-1157.46327072665</v>
      </c>
      <c r="AO67" s="9">
        <f t="shared" si="3"/>
        <v>-1166.06196536227</v>
      </c>
      <c r="AP67" s="9">
        <f t="shared" si="3"/>
        <v>-1387.96859484274</v>
      </c>
      <c r="AQ67" s="9">
        <f t="shared" si="3"/>
        <v>-1421.36441895792</v>
      </c>
      <c r="AR67" s="9">
        <f t="shared" si="3"/>
        <v>-1206.19385786728</v>
      </c>
      <c r="AS67" s="9">
        <f t="shared" si="3"/>
        <v>-1267.43971976612</v>
      </c>
      <c r="AT67" s="9">
        <f t="shared" si="3"/>
        <v>-1451.68024730385</v>
      </c>
      <c r="AU67" s="9">
        <f t="shared" si="3"/>
        <v>-1491.07157841379</v>
      </c>
      <c r="AV67" s="9">
        <f t="shared" si="3"/>
        <v>-1298.65279046472</v>
      </c>
      <c r="AW67" s="9">
        <f t="shared" si="3"/>
        <v>-1314.38131356843</v>
      </c>
      <c r="AX67" s="9">
        <f t="shared" si="3"/>
        <v>-1593.73688625591</v>
      </c>
      <c r="AY67" s="9">
        <f t="shared" si="3"/>
        <v>-1557.05639494128</v>
      </c>
      <c r="AZ67" s="9">
        <f t="shared" si="3"/>
        <v>-1409.90970177929</v>
      </c>
      <c r="BA67" s="9">
        <f t="shared" si="3"/>
        <v>-1420.35304515618</v>
      </c>
      <c r="BB67" s="9">
        <f t="shared" si="3"/>
        <v>-1690.23687842795</v>
      </c>
      <c r="BC67" s="9">
        <f t="shared" si="3"/>
        <v>-1731.41567639776</v>
      </c>
    </row>
    <row r="68" ht="15.997499999999997" customHeight="1">
      <c r="A68" s="5" t="s">
        <v>45</v>
      </c>
      <c r="B68" s="5" t="s">
        <v>45</v>
      </c>
      <c r="C68" s="5" t="s">
        <v>45</v>
      </c>
      <c r="D68" s="5" t="s">
        <v>45</v>
      </c>
      <c r="E68" s="5" t="s">
        <v>45</v>
      </c>
      <c r="F68" s="5" t="s">
        <v>45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7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ht="15.997499999999997" customHeight="1">
      <c r="A69" s="5" t="s">
        <v>35</v>
      </c>
      <c r="B69" s="5" t="s">
        <v>117</v>
      </c>
      <c r="C69" s="5" t="s">
        <v>118</v>
      </c>
      <c r="D69" s="5">
        <v>6110</v>
      </c>
      <c r="E69" s="5" t="s">
        <v>119</v>
      </c>
      <c r="F69" s="5" t="s">
        <v>39</v>
      </c>
      <c r="G69" s="6">
        <v>-248</v>
      </c>
      <c r="H69" s="6">
        <v>-252.5</v>
      </c>
      <c r="I69" s="6">
        <v>-257</v>
      </c>
      <c r="J69" s="6">
        <v>-261.6</v>
      </c>
      <c r="K69" s="6">
        <v>-266.3</v>
      </c>
      <c r="L69" s="6">
        <v>-271.1</v>
      </c>
      <c r="M69" s="6">
        <v>-276</v>
      </c>
      <c r="N69" s="6">
        <v>-281</v>
      </c>
      <c r="O69" s="6">
        <v>-286</v>
      </c>
      <c r="P69" s="6">
        <v>-291.2</v>
      </c>
      <c r="Q69" s="6">
        <v>-296.4</v>
      </c>
      <c r="R69" s="6">
        <v>-301.8</v>
      </c>
      <c r="S69" s="6">
        <v>-307.2</v>
      </c>
      <c r="T69" s="6">
        <v>-312.7</v>
      </c>
      <c r="U69" s="6">
        <v>-318.4</v>
      </c>
      <c r="V69" s="6">
        <v>-324.1</v>
      </c>
      <c r="W69" s="6">
        <v>-329.9</v>
      </c>
      <c r="X69" s="6">
        <v>-335.9</v>
      </c>
      <c r="Y69" s="6">
        <v>-341.9</v>
      </c>
      <c r="Z69" s="6">
        <v>-348.1</v>
      </c>
      <c r="AA69" s="6">
        <v>-354.3</v>
      </c>
      <c r="AB69" s="6">
        <v>-360.7</v>
      </c>
      <c r="AC69" s="6">
        <v>-367.2</v>
      </c>
      <c r="AD69" s="6">
        <v>-373.8</v>
      </c>
      <c r="AE69" s="7"/>
      <c r="AF69" s="6">
        <v>-225.45454545454544</v>
      </c>
      <c r="AG69" s="6">
        <v>-240.47619047619045</v>
      </c>
      <c r="AH69" s="6">
        <v>-273.40425531914894</v>
      </c>
      <c r="AI69" s="6">
        <v>-281.2903225806452</v>
      </c>
      <c r="AJ69" s="6">
        <v>-246.57407407407408</v>
      </c>
      <c r="AK69" s="6">
        <v>-248.71559633027522</v>
      </c>
      <c r="AL69" s="6">
        <v>-306.6666666666667</v>
      </c>
      <c r="AM69" s="6">
        <v>-295.7894736842105</v>
      </c>
      <c r="AN69" s="6">
        <v>-269.811320754717</v>
      </c>
      <c r="AO69" s="6">
        <v>-272.14953271028037</v>
      </c>
      <c r="AP69" s="6">
        <v>-322.1739130434782</v>
      </c>
      <c r="AQ69" s="6">
        <v>-331.64835164835165</v>
      </c>
      <c r="AR69" s="6">
        <v>-279.27272727272725</v>
      </c>
      <c r="AS69" s="6">
        <v>-297.8095238095238</v>
      </c>
      <c r="AT69" s="6">
        <v>-338.72340425531917</v>
      </c>
      <c r="AU69" s="6">
        <v>-348.49462365591404</v>
      </c>
      <c r="AV69" s="6">
        <v>-305.46296296296293</v>
      </c>
      <c r="AW69" s="6">
        <v>-308.1651376146789</v>
      </c>
      <c r="AX69" s="6">
        <v>-379.88888888888886</v>
      </c>
      <c r="AY69" s="6">
        <v>-366.421052631579</v>
      </c>
      <c r="AZ69" s="6">
        <v>-334.2452830188679</v>
      </c>
      <c r="BA69" s="6">
        <v>-337.10280373831773</v>
      </c>
      <c r="BB69" s="6">
        <v>-399.1304347826087</v>
      </c>
      <c r="BC69" s="6">
        <v>-410.7692307692308</v>
      </c>
    </row>
    <row r="70" ht="15.997499999999997" customHeight="1">
      <c r="A70" s="5" t="s">
        <v>35</v>
      </c>
      <c r="B70" s="5" t="s">
        <v>117</v>
      </c>
      <c r="C70" s="5" t="s">
        <v>118</v>
      </c>
      <c r="D70" s="5">
        <v>6150</v>
      </c>
      <c r="E70" s="5" t="s">
        <v>120</v>
      </c>
      <c r="F70" s="5" t="s">
        <v>39</v>
      </c>
      <c r="G70" s="6">
        <v>-52.9</v>
      </c>
      <c r="H70" s="6">
        <v>-54.1</v>
      </c>
      <c r="I70" s="6">
        <v>-55.9</v>
      </c>
      <c r="J70" s="6">
        <v>-56</v>
      </c>
      <c r="K70" s="6">
        <v>-57.8</v>
      </c>
      <c r="L70" s="6">
        <v>-59</v>
      </c>
      <c r="M70" s="6">
        <v>-57.4</v>
      </c>
      <c r="N70" s="6">
        <v>-56.9</v>
      </c>
      <c r="O70" s="6">
        <v>-60</v>
      </c>
      <c r="P70" s="6">
        <v>-61.3</v>
      </c>
      <c r="Q70" s="6">
        <v>-63.9</v>
      </c>
      <c r="R70" s="6">
        <v>-67.7</v>
      </c>
      <c r="S70" s="6">
        <v>-61.1</v>
      </c>
      <c r="T70" s="6">
        <v>-62.4</v>
      </c>
      <c r="U70" s="6">
        <v>-64.5</v>
      </c>
      <c r="V70" s="6">
        <v>-64.6</v>
      </c>
      <c r="W70" s="6">
        <v>-66.7</v>
      </c>
      <c r="X70" s="6">
        <v>-68.1</v>
      </c>
      <c r="Y70" s="6">
        <v>-66.3</v>
      </c>
      <c r="Z70" s="6">
        <v>-65.7</v>
      </c>
      <c r="AA70" s="6">
        <v>-69.2</v>
      </c>
      <c r="AB70" s="6">
        <v>-70.8</v>
      </c>
      <c r="AC70" s="6">
        <v>-73.7</v>
      </c>
      <c r="AD70" s="6">
        <v>-78.2</v>
      </c>
      <c r="AE70" s="7"/>
      <c r="AF70" s="6">
        <v>-50.38095238095238</v>
      </c>
      <c r="AG70" s="6">
        <v>-51.0377358490566</v>
      </c>
      <c r="AH70" s="6">
        <v>-60.10752688172043</v>
      </c>
      <c r="AI70" s="6">
        <v>-60.869565217391305</v>
      </c>
      <c r="AJ70" s="6">
        <v>-53.02752293577981</v>
      </c>
      <c r="AK70" s="6">
        <v>-53.63636363636363</v>
      </c>
      <c r="AL70" s="6">
        <v>-60.42105263157895</v>
      </c>
      <c r="AM70" s="6">
        <v>-60.53191489361702</v>
      </c>
      <c r="AN70" s="6">
        <v>-56.074766355140184</v>
      </c>
      <c r="AO70" s="6">
        <v>-56.75925925925925</v>
      </c>
      <c r="AP70" s="6">
        <v>-70.21978021978022</v>
      </c>
      <c r="AQ70" s="6">
        <v>-75.22222222222223</v>
      </c>
      <c r="AR70" s="6">
        <v>-58.19047619047619</v>
      </c>
      <c r="AS70" s="6">
        <v>-58.867924528301884</v>
      </c>
      <c r="AT70" s="6">
        <v>-69.35483870967742</v>
      </c>
      <c r="AU70" s="6">
        <v>-70.21739130434781</v>
      </c>
      <c r="AV70" s="6">
        <v>-61.19266055045871</v>
      </c>
      <c r="AW70" s="6">
        <v>-61.9090909090909</v>
      </c>
      <c r="AX70" s="6">
        <v>-69.78947368421052</v>
      </c>
      <c r="AY70" s="6">
        <v>-69.8936170212766</v>
      </c>
      <c r="AZ70" s="6">
        <v>-64.67289719626169</v>
      </c>
      <c r="BA70" s="6">
        <v>-65.55555555555554</v>
      </c>
      <c r="BB70" s="6">
        <v>-80.98901098901099</v>
      </c>
      <c r="BC70" s="6">
        <v>-86.88888888888889</v>
      </c>
    </row>
    <row r="71" ht="15.997499999999997" customHeight="1">
      <c r="A71" s="5" t="s">
        <v>35</v>
      </c>
      <c r="B71" s="5" t="s">
        <v>117</v>
      </c>
      <c r="C71" s="5" t="s">
        <v>118</v>
      </c>
      <c r="D71" s="5">
        <v>6160</v>
      </c>
      <c r="E71" s="5" t="s">
        <v>121</v>
      </c>
      <c r="F71" s="5" t="s">
        <v>39</v>
      </c>
      <c r="G71" s="6">
        <v>-18</v>
      </c>
      <c r="H71" s="6">
        <v>-18.2</v>
      </c>
      <c r="I71" s="6">
        <v>-18.4</v>
      </c>
      <c r="J71" s="6">
        <v>-18.7</v>
      </c>
      <c r="K71" s="6">
        <v>-18.9</v>
      </c>
      <c r="L71" s="6">
        <v>-19.1</v>
      </c>
      <c r="M71" s="6">
        <v>-19.3</v>
      </c>
      <c r="N71" s="6">
        <v>-19.6</v>
      </c>
      <c r="O71" s="6">
        <v>-19.8</v>
      </c>
      <c r="P71" s="6">
        <v>-20</v>
      </c>
      <c r="Q71" s="6">
        <v>-20.3</v>
      </c>
      <c r="R71" s="6">
        <v>-20.5</v>
      </c>
      <c r="S71" s="6">
        <v>-20.8</v>
      </c>
      <c r="T71" s="6">
        <v>-21</v>
      </c>
      <c r="U71" s="6">
        <v>-21.3</v>
      </c>
      <c r="V71" s="6">
        <v>-21.5</v>
      </c>
      <c r="W71" s="6">
        <v>-21.8</v>
      </c>
      <c r="X71" s="6">
        <v>-22</v>
      </c>
      <c r="Y71" s="6">
        <v>-22.3</v>
      </c>
      <c r="Z71" s="6">
        <v>-22.6</v>
      </c>
      <c r="AA71" s="6">
        <v>-22.8</v>
      </c>
      <c r="AB71" s="6">
        <v>-23.1</v>
      </c>
      <c r="AC71" s="6">
        <v>-23.4</v>
      </c>
      <c r="AD71" s="6">
        <v>-23.7</v>
      </c>
      <c r="AE71" s="7"/>
      <c r="AF71" s="6">
        <v>-16.9811320754717</v>
      </c>
      <c r="AG71" s="6">
        <v>-17.009345794392523</v>
      </c>
      <c r="AH71" s="6">
        <v>-19.999999999999996</v>
      </c>
      <c r="AI71" s="6">
        <v>-20.549450549450547</v>
      </c>
      <c r="AJ71" s="6">
        <v>-17.18181818181818</v>
      </c>
      <c r="AK71" s="6">
        <v>-18.19047619047619</v>
      </c>
      <c r="AL71" s="6">
        <v>-20.531914893617024</v>
      </c>
      <c r="AM71" s="6">
        <v>-21.075268817204304</v>
      </c>
      <c r="AN71" s="6">
        <v>-18.333333333333332</v>
      </c>
      <c r="AO71" s="6">
        <v>-18.34862385321101</v>
      </c>
      <c r="AP71" s="6">
        <v>-22.555555555555557</v>
      </c>
      <c r="AQ71" s="6">
        <v>-21.578947368421055</v>
      </c>
      <c r="AR71" s="6">
        <v>-19.62264150943396</v>
      </c>
      <c r="AS71" s="6">
        <v>-19.626168224299064</v>
      </c>
      <c r="AT71" s="6">
        <v>-23.152173913043477</v>
      </c>
      <c r="AU71" s="6">
        <v>-23.626373626373624</v>
      </c>
      <c r="AV71" s="6">
        <v>-19.818181818181817</v>
      </c>
      <c r="AW71" s="6">
        <v>-20.952380952380953</v>
      </c>
      <c r="AX71" s="6">
        <v>-23.72340425531915</v>
      </c>
      <c r="AY71" s="6">
        <v>-24.301075268817208</v>
      </c>
      <c r="AZ71" s="6">
        <v>-21.11111111111111</v>
      </c>
      <c r="BA71" s="6">
        <v>-21.192660550458715</v>
      </c>
      <c r="BB71" s="6">
        <v>-25.999999999999996</v>
      </c>
      <c r="BC71" s="6">
        <v>-24.947368421052634</v>
      </c>
    </row>
    <row r="72" ht="15.997499999999997" customHeight="1">
      <c r="A72" s="8" t="s">
        <v>35</v>
      </c>
      <c r="B72" s="8" t="s">
        <v>117</v>
      </c>
      <c r="C72" s="8" t="s">
        <v>42</v>
      </c>
      <c r="D72" s="8" t="s">
        <v>43</v>
      </c>
      <c r="E72" s="8" t="s">
        <v>122</v>
      </c>
      <c r="F72" s="8" t="s">
        <v>39</v>
      </c>
      <c r="G72" s="9">
        <f t="shared" si="0"/>
        <v>-318.9</v>
      </c>
      <c r="H72" s="9">
        <f t="shared" si="0"/>
        <v>-324.8</v>
      </c>
      <c r="I72" s="9">
        <f t="shared" si="0"/>
        <v>-331.3</v>
      </c>
      <c r="J72" s="9">
        <f t="shared" si="0"/>
        <v>-336.3</v>
      </c>
      <c r="K72" s="9">
        <f t="shared" si="0"/>
        <v>-343</v>
      </c>
      <c r="L72" s="9">
        <f t="shared" si="0"/>
        <v>-349.2</v>
      </c>
      <c r="M72" s="9">
        <f t="shared" si="0"/>
        <v>-352.7</v>
      </c>
      <c r="N72" s="9">
        <f t="shared" si="0"/>
        <v>-357.5</v>
      </c>
      <c r="O72" s="9">
        <f t="shared" si="0"/>
        <v>-365.8</v>
      </c>
      <c r="P72" s="9">
        <f t="shared" si="0"/>
        <v>-372.5</v>
      </c>
      <c r="Q72" s="9">
        <f t="shared" si="0"/>
        <v>-380.6</v>
      </c>
      <c r="R72" s="9">
        <f t="shared" si="0"/>
        <v>-390</v>
      </c>
      <c r="S72" s="9">
        <f t="shared" si="0"/>
        <v>-389.1</v>
      </c>
      <c r="T72" s="9">
        <f t="shared" si="0"/>
        <v>-396.1</v>
      </c>
      <c r="U72" s="9">
        <f t="shared" si="0"/>
        <v>-404.2</v>
      </c>
      <c r="V72" s="9">
        <f t="shared" si="0"/>
        <v>-410.2</v>
      </c>
      <c r="W72" s="9">
        <f t="shared" si="0"/>
        <v>-418.4</v>
      </c>
      <c r="X72" s="9">
        <f t="shared" si="0"/>
        <v>-426</v>
      </c>
      <c r="Y72" s="9">
        <f t="shared" si="0"/>
        <v>-430.5</v>
      </c>
      <c r="Z72" s="9">
        <f t="shared" si="0"/>
        <v>-436.4</v>
      </c>
      <c r="AA72" s="9">
        <f t="shared" si="0"/>
        <v>-446.3</v>
      </c>
      <c r="AB72" s="9">
        <f t="shared" si="0"/>
        <v>-454.6</v>
      </c>
      <c r="AC72" s="9">
        <f t="shared" si="0"/>
        <v>-464.3</v>
      </c>
      <c r="AD72" s="9">
        <f t="shared" si="0"/>
        <v>-475.7</v>
      </c>
      <c r="AE72" s="10"/>
      <c r="AF72" s="9">
        <f t="shared" si="0"/>
        <v>-292.816629910969</v>
      </c>
      <c r="AG72" s="9">
        <f t="shared" si="0"/>
        <v>-308.52327211964</v>
      </c>
      <c r="AH72" s="9">
        <f t="shared" si="0"/>
        <v>-353.511782200869</v>
      </c>
      <c r="AI72" s="9">
        <f t="shared" si="0"/>
        <v>-362.709338347487</v>
      </c>
      <c r="AJ72" s="9">
        <f t="shared" si="0"/>
        <v>-316.783415191672</v>
      </c>
      <c r="AK72" s="9">
        <f t="shared" si="0"/>
        <v>-320.542436157115</v>
      </c>
      <c r="AL72" s="9">
        <f t="shared" si="0"/>
        <v>-387.619634191863</v>
      </c>
      <c r="AM72" s="9">
        <f t="shared" si="0"/>
        <v>-377.396657395032</v>
      </c>
      <c r="AN72" s="9">
        <f t="shared" si="0"/>
        <v>-344.21942044319</v>
      </c>
      <c r="AO72" s="9">
        <f t="shared" si="0"/>
        <v>-347.257415822751</v>
      </c>
      <c r="AP72" s="9">
        <f t="shared" si="0"/>
        <v>-414.949248818814</v>
      </c>
      <c r="AQ72" s="9">
        <f t="shared" si="0"/>
        <v>-428.449521238995</v>
      </c>
      <c r="AR72" s="9">
        <f t="shared" si="0"/>
        <v>-357.085844972637</v>
      </c>
      <c r="AS72" s="9">
        <f t="shared" si="0"/>
        <v>-376.303616562125</v>
      </c>
      <c r="AT72" s="9">
        <f t="shared" si="0"/>
        <v>-431.23041687804</v>
      </c>
      <c r="AU72" s="9">
        <f t="shared" si="0"/>
        <v>-442.338388586635</v>
      </c>
      <c r="AV72" s="9">
        <f t="shared" si="0"/>
        <v>-386.473805331603</v>
      </c>
      <c r="AW72" s="9">
        <f t="shared" si="0"/>
        <v>-391.026609476151</v>
      </c>
      <c r="AX72" s="9">
        <f t="shared" si="0"/>
        <v>-473.401766828419</v>
      </c>
      <c r="AY72" s="9">
        <f t="shared" si="0"/>
        <v>-460.615744921673</v>
      </c>
      <c r="AZ72" s="9">
        <f t="shared" si="0"/>
        <v>-420.029291326241</v>
      </c>
      <c r="BA72" s="9">
        <f t="shared" si="0"/>
        <v>-423.851019844332</v>
      </c>
      <c r="BB72" s="9">
        <f t="shared" si="0"/>
        <v>-506.11944577162</v>
      </c>
      <c r="BC72" s="9">
        <f t="shared" si="0"/>
        <v>-522.605488079172</v>
      </c>
    </row>
    <row r="73" ht="15.997499999999997" customHeight="1">
      <c r="A73" s="5" t="s">
        <v>45</v>
      </c>
      <c r="B73" s="5" t="s">
        <v>45</v>
      </c>
      <c r="C73" s="5" t="s">
        <v>45</v>
      </c>
      <c r="D73" s="5" t="s">
        <v>45</v>
      </c>
      <c r="E73" s="5" t="s">
        <v>45</v>
      </c>
      <c r="F73" s="5" t="s">
        <v>45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7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</row>
    <row r="74" ht="15.997499999999997" customHeight="1">
      <c r="A74" s="5" t="s">
        <v>35</v>
      </c>
      <c r="B74" s="5" t="s">
        <v>123</v>
      </c>
      <c r="C74" s="5" t="s">
        <v>124</v>
      </c>
      <c r="D74" s="5">
        <v>6200</v>
      </c>
      <c r="E74" s="5" t="s">
        <v>125</v>
      </c>
      <c r="F74" s="5" t="s">
        <v>39</v>
      </c>
      <c r="G74" s="6">
        <v>-210</v>
      </c>
      <c r="H74" s="6">
        <v>-213.8</v>
      </c>
      <c r="I74" s="6">
        <v>-217.6</v>
      </c>
      <c r="J74" s="6">
        <v>-221.5</v>
      </c>
      <c r="K74" s="6">
        <v>-225.5</v>
      </c>
      <c r="L74" s="6">
        <v>-229.6</v>
      </c>
      <c r="M74" s="6">
        <v>-233.7</v>
      </c>
      <c r="N74" s="6">
        <v>-237.9</v>
      </c>
      <c r="O74" s="6">
        <v>-242.2</v>
      </c>
      <c r="P74" s="6">
        <v>-246.6</v>
      </c>
      <c r="Q74" s="6">
        <v>-251</v>
      </c>
      <c r="R74" s="6">
        <v>-255.5</v>
      </c>
      <c r="S74" s="6">
        <v>-260.1</v>
      </c>
      <c r="T74" s="6">
        <v>-264.8</v>
      </c>
      <c r="U74" s="6">
        <v>-269.6</v>
      </c>
      <c r="V74" s="6">
        <v>-274.4</v>
      </c>
      <c r="W74" s="6">
        <v>-279.4</v>
      </c>
      <c r="X74" s="6">
        <v>-284.4</v>
      </c>
      <c r="Y74" s="6">
        <v>-289.5</v>
      </c>
      <c r="Z74" s="6">
        <v>-294.7</v>
      </c>
      <c r="AA74" s="6">
        <v>-300</v>
      </c>
      <c r="AB74" s="6">
        <v>-305.4</v>
      </c>
      <c r="AC74" s="6">
        <v>-310.9</v>
      </c>
      <c r="AD74" s="6">
        <v>-316.5</v>
      </c>
      <c r="AE74" s="7"/>
      <c r="AF74" s="6">
        <v>-192.6605504587156</v>
      </c>
      <c r="AG74" s="6">
        <v>-194.36363636363635</v>
      </c>
      <c r="AH74" s="6">
        <v>-229.05263157894737</v>
      </c>
      <c r="AI74" s="6">
        <v>-235.63829787234044</v>
      </c>
      <c r="AJ74" s="6">
        <v>-210.74766355140187</v>
      </c>
      <c r="AK74" s="6">
        <v>-212.59259259259258</v>
      </c>
      <c r="AL74" s="6">
        <v>-256.8131868131868</v>
      </c>
      <c r="AM74" s="6">
        <v>-264.3333333333333</v>
      </c>
      <c r="AN74" s="6">
        <v>-230.66666666666666</v>
      </c>
      <c r="AO74" s="6">
        <v>-232.64150943396226</v>
      </c>
      <c r="AP74" s="6">
        <v>-269.8924731182796</v>
      </c>
      <c r="AQ74" s="6">
        <v>-277.7173913043478</v>
      </c>
      <c r="AR74" s="6">
        <v>-238.6238532110092</v>
      </c>
      <c r="AS74" s="6">
        <v>-240.72727272727272</v>
      </c>
      <c r="AT74" s="6">
        <v>-283.7894736842106</v>
      </c>
      <c r="AU74" s="6">
        <v>-291.9148936170213</v>
      </c>
      <c r="AV74" s="6">
        <v>-261.12149532710276</v>
      </c>
      <c r="AW74" s="6">
        <v>-263.3333333333333</v>
      </c>
      <c r="AX74" s="6">
        <v>-318.13186813186815</v>
      </c>
      <c r="AY74" s="6">
        <v>-327.4444444444444</v>
      </c>
      <c r="AZ74" s="6">
        <v>-285.7142857142857</v>
      </c>
      <c r="BA74" s="6">
        <v>-288.1132075471698</v>
      </c>
      <c r="BB74" s="6">
        <v>-334.3010752688172</v>
      </c>
      <c r="BC74" s="6">
        <v>-344.02173913043475</v>
      </c>
    </row>
    <row r="75" ht="15.997499999999997" customHeight="1">
      <c r="A75" s="5" t="s">
        <v>35</v>
      </c>
      <c r="B75" s="5" t="s">
        <v>123</v>
      </c>
      <c r="C75" s="5" t="s">
        <v>124</v>
      </c>
      <c r="D75" s="5">
        <v>6210</v>
      </c>
      <c r="E75" s="5" t="s">
        <v>126</v>
      </c>
      <c r="F75" s="5" t="s">
        <v>39</v>
      </c>
      <c r="G75" s="6">
        <v>-138</v>
      </c>
      <c r="H75" s="6">
        <v>-140.5</v>
      </c>
      <c r="I75" s="6">
        <v>-143</v>
      </c>
      <c r="J75" s="6">
        <v>-145.6</v>
      </c>
      <c r="K75" s="6">
        <v>-148.2</v>
      </c>
      <c r="L75" s="6">
        <v>-150.9</v>
      </c>
      <c r="M75" s="6">
        <v>-153.6</v>
      </c>
      <c r="N75" s="6">
        <v>-156.4</v>
      </c>
      <c r="O75" s="6">
        <v>-159.2</v>
      </c>
      <c r="P75" s="6">
        <v>-162</v>
      </c>
      <c r="Q75" s="6">
        <v>-165</v>
      </c>
      <c r="R75" s="6">
        <v>-167.9</v>
      </c>
      <c r="S75" s="6">
        <v>-170.9</v>
      </c>
      <c r="T75" s="6">
        <v>-174</v>
      </c>
      <c r="U75" s="6">
        <v>-177.2</v>
      </c>
      <c r="V75" s="6">
        <v>-180.3</v>
      </c>
      <c r="W75" s="6">
        <v>-183.6</v>
      </c>
      <c r="X75" s="6">
        <v>-186.9</v>
      </c>
      <c r="Y75" s="6">
        <v>-190.3</v>
      </c>
      <c r="Z75" s="6">
        <v>-193.7</v>
      </c>
      <c r="AA75" s="6">
        <v>-197.2</v>
      </c>
      <c r="AB75" s="6">
        <v>-200.7</v>
      </c>
      <c r="AC75" s="6">
        <v>-204.3</v>
      </c>
      <c r="AD75" s="6">
        <v>-208</v>
      </c>
      <c r="AE75" s="7"/>
      <c r="AF75" s="6">
        <v>-125.45454545454544</v>
      </c>
      <c r="AG75" s="6">
        <v>-133.8095238095238</v>
      </c>
      <c r="AH75" s="6">
        <v>-152.12765957446808</v>
      </c>
      <c r="AI75" s="6">
        <v>-156.55913978494624</v>
      </c>
      <c r="AJ75" s="6">
        <v>-137.2222222222222</v>
      </c>
      <c r="AK75" s="6">
        <v>-138.44036697247705</v>
      </c>
      <c r="AL75" s="6">
        <v>-170.66666666666666</v>
      </c>
      <c r="AM75" s="6">
        <v>-164.63157894736844</v>
      </c>
      <c r="AN75" s="6">
        <v>-150.188679245283</v>
      </c>
      <c r="AO75" s="6">
        <v>-151.4018691588785</v>
      </c>
      <c r="AP75" s="6">
        <v>-179.3478260869565</v>
      </c>
      <c r="AQ75" s="6">
        <v>-184.5054945054945</v>
      </c>
      <c r="AR75" s="6">
        <v>-155.36363636363635</v>
      </c>
      <c r="AS75" s="6">
        <v>-165.7142857142857</v>
      </c>
      <c r="AT75" s="6">
        <v>-188.51063829787233</v>
      </c>
      <c r="AU75" s="6">
        <v>-193.87096774193552</v>
      </c>
      <c r="AV75" s="6">
        <v>-169.99999999999997</v>
      </c>
      <c r="AW75" s="6">
        <v>-171.46788990825686</v>
      </c>
      <c r="AX75" s="6">
        <v>-211.44444444444446</v>
      </c>
      <c r="AY75" s="6">
        <v>-203.89473684210526</v>
      </c>
      <c r="AZ75" s="6">
        <v>-186.0377358490566</v>
      </c>
      <c r="BA75" s="6">
        <v>-187.5700934579439</v>
      </c>
      <c r="BB75" s="6">
        <v>-222.06521739130434</v>
      </c>
      <c r="BC75" s="6">
        <v>-228.57142857142856</v>
      </c>
    </row>
    <row r="76" ht="15.997499999999997" customHeight="1">
      <c r="A76" s="5" t="s">
        <v>35</v>
      </c>
      <c r="B76" s="5" t="s">
        <v>123</v>
      </c>
      <c r="C76" s="5" t="s">
        <v>124</v>
      </c>
      <c r="D76" s="5">
        <v>6220</v>
      </c>
      <c r="E76" s="5" t="s">
        <v>127</v>
      </c>
      <c r="F76" s="5" t="s">
        <v>39</v>
      </c>
      <c r="G76" s="6">
        <v>-185</v>
      </c>
      <c r="H76" s="6">
        <v>-187.2</v>
      </c>
      <c r="I76" s="6">
        <v>-189.5</v>
      </c>
      <c r="J76" s="6">
        <v>-191.7</v>
      </c>
      <c r="K76" s="6">
        <v>-194</v>
      </c>
      <c r="L76" s="6">
        <v>-196.4</v>
      </c>
      <c r="M76" s="6">
        <v>-198.7</v>
      </c>
      <c r="N76" s="6">
        <v>-201.1</v>
      </c>
      <c r="O76" s="6">
        <v>-203.5</v>
      </c>
      <c r="P76" s="6">
        <v>-206</v>
      </c>
      <c r="Q76" s="6">
        <v>-208.4</v>
      </c>
      <c r="R76" s="6">
        <v>-210.9</v>
      </c>
      <c r="S76" s="6">
        <v>-213.5</v>
      </c>
      <c r="T76" s="6">
        <v>-216</v>
      </c>
      <c r="U76" s="6">
        <v>-218.6</v>
      </c>
      <c r="V76" s="6">
        <v>-221.2</v>
      </c>
      <c r="W76" s="6">
        <v>-223.9</v>
      </c>
      <c r="X76" s="6">
        <v>-226.6</v>
      </c>
      <c r="Y76" s="6">
        <v>-229.3</v>
      </c>
      <c r="Z76" s="6">
        <v>-232.1</v>
      </c>
      <c r="AA76" s="6">
        <v>-234.8</v>
      </c>
      <c r="AB76" s="6">
        <v>-237.7</v>
      </c>
      <c r="AC76" s="6">
        <v>-240.5</v>
      </c>
      <c r="AD76" s="6">
        <v>-243.4</v>
      </c>
      <c r="AE76" s="7"/>
      <c r="AF76" s="6">
        <v>-176.19047619047618</v>
      </c>
      <c r="AG76" s="6">
        <v>-176.60377358490564</v>
      </c>
      <c r="AH76" s="6">
        <v>-203.76344086021507</v>
      </c>
      <c r="AI76" s="6">
        <v>-208.36956521739128</v>
      </c>
      <c r="AJ76" s="6">
        <v>-177.98165137614677</v>
      </c>
      <c r="AK76" s="6">
        <v>-178.54545454545453</v>
      </c>
      <c r="AL76" s="6">
        <v>-209.1578947368421</v>
      </c>
      <c r="AM76" s="6">
        <v>-213.93617021276597</v>
      </c>
      <c r="AN76" s="6">
        <v>-190.18691588785046</v>
      </c>
      <c r="AO76" s="6">
        <v>-190.74074074074073</v>
      </c>
      <c r="AP76" s="6">
        <v>-229.01098901098902</v>
      </c>
      <c r="AQ76" s="6">
        <v>-234.33333333333334</v>
      </c>
      <c r="AR76" s="6">
        <v>-203.33333333333331</v>
      </c>
      <c r="AS76" s="6">
        <v>-203.77358490566036</v>
      </c>
      <c r="AT76" s="6">
        <v>-235.05376344086022</v>
      </c>
      <c r="AU76" s="6">
        <v>-240.43478260869563</v>
      </c>
      <c r="AV76" s="6">
        <v>-205.41284403669724</v>
      </c>
      <c r="AW76" s="6">
        <v>-205.99999999999997</v>
      </c>
      <c r="AX76" s="6">
        <v>-241.3684210526316</v>
      </c>
      <c r="AY76" s="6">
        <v>-246.91489361702128</v>
      </c>
      <c r="AZ76" s="6">
        <v>-219.4392523364486</v>
      </c>
      <c r="BA76" s="6">
        <v>-220.09259259259258</v>
      </c>
      <c r="BB76" s="6">
        <v>-264.2857142857143</v>
      </c>
      <c r="BC76" s="6">
        <v>-270.44444444444446</v>
      </c>
    </row>
    <row r="77" ht="15.997499999999997" customHeight="1">
      <c r="A77" s="5" t="s">
        <v>35</v>
      </c>
      <c r="B77" s="5" t="s">
        <v>123</v>
      </c>
      <c r="C77" s="5" t="s">
        <v>124</v>
      </c>
      <c r="D77" s="5">
        <v>6230</v>
      </c>
      <c r="E77" s="5" t="s">
        <v>128</v>
      </c>
      <c r="F77" s="5" t="s">
        <v>39</v>
      </c>
      <c r="G77" s="6">
        <v>-113.7</v>
      </c>
      <c r="H77" s="6">
        <v>-116.2</v>
      </c>
      <c r="I77" s="6">
        <v>-120</v>
      </c>
      <c r="J77" s="6">
        <v>-120.2</v>
      </c>
      <c r="K77" s="6">
        <v>-124.1</v>
      </c>
      <c r="L77" s="6">
        <v>-126.8</v>
      </c>
      <c r="M77" s="6">
        <v>-123.4</v>
      </c>
      <c r="N77" s="6">
        <v>-122.3</v>
      </c>
      <c r="O77" s="6">
        <v>-128.9</v>
      </c>
      <c r="P77" s="6">
        <v>-131.7</v>
      </c>
      <c r="Q77" s="6">
        <v>-137.2</v>
      </c>
      <c r="R77" s="6">
        <v>-145.5</v>
      </c>
      <c r="S77" s="6">
        <v>-131.2</v>
      </c>
      <c r="T77" s="6">
        <v>-134.1</v>
      </c>
      <c r="U77" s="6">
        <v>-138.5</v>
      </c>
      <c r="V77" s="6">
        <v>-138.7</v>
      </c>
      <c r="W77" s="6">
        <v>-143.2</v>
      </c>
      <c r="X77" s="6">
        <v>-146.3</v>
      </c>
      <c r="Y77" s="6">
        <v>-142.3</v>
      </c>
      <c r="Z77" s="6">
        <v>-141.1</v>
      </c>
      <c r="AA77" s="6">
        <v>-148.7</v>
      </c>
      <c r="AB77" s="6">
        <v>-152</v>
      </c>
      <c r="AC77" s="6">
        <v>-158.4</v>
      </c>
      <c r="AD77" s="6">
        <v>-167.9</v>
      </c>
      <c r="AE77" s="7"/>
      <c r="AF77" s="6">
        <v>-107.26415094339622</v>
      </c>
      <c r="AG77" s="6">
        <v>-108.59813084112149</v>
      </c>
      <c r="AH77" s="6">
        <v>-130.43478260869566</v>
      </c>
      <c r="AI77" s="6">
        <v>-132.0879120879121</v>
      </c>
      <c r="AJ77" s="6">
        <v>-112.8181818181818</v>
      </c>
      <c r="AK77" s="6">
        <v>-120.76190476190476</v>
      </c>
      <c r="AL77" s="6">
        <v>-131.27659574468086</v>
      </c>
      <c r="AM77" s="6">
        <v>-131.50537634408602</v>
      </c>
      <c r="AN77" s="6">
        <v>-119.35185185185185</v>
      </c>
      <c r="AO77" s="6">
        <v>-120.82568807339447</v>
      </c>
      <c r="AP77" s="6">
        <v>-152.44444444444443</v>
      </c>
      <c r="AQ77" s="6">
        <v>-153.1578947368421</v>
      </c>
      <c r="AR77" s="6">
        <v>-123.77358490566036</v>
      </c>
      <c r="AS77" s="6">
        <v>-125.3271028037383</v>
      </c>
      <c r="AT77" s="6">
        <v>-150.54347826086956</v>
      </c>
      <c r="AU77" s="6">
        <v>-152.4175824175824</v>
      </c>
      <c r="AV77" s="6">
        <v>-130.18181818181816</v>
      </c>
      <c r="AW77" s="6">
        <v>-139.33333333333334</v>
      </c>
      <c r="AX77" s="6">
        <v>-151.38297872340428</v>
      </c>
      <c r="AY77" s="6">
        <v>-151.72043010752688</v>
      </c>
      <c r="AZ77" s="6">
        <v>-137.68518518518516</v>
      </c>
      <c r="BA77" s="6">
        <v>-139.44954128440367</v>
      </c>
      <c r="BB77" s="6">
        <v>-176</v>
      </c>
      <c r="BC77" s="6">
        <v>-176.73684210526318</v>
      </c>
    </row>
    <row r="78" ht="15.997499999999997" customHeight="1">
      <c r="A78" s="5" t="s">
        <v>35</v>
      </c>
      <c r="B78" s="5" t="s">
        <v>123</v>
      </c>
      <c r="C78" s="5" t="s">
        <v>124</v>
      </c>
      <c r="D78" s="5">
        <v>6240</v>
      </c>
      <c r="E78" s="5" t="s">
        <v>129</v>
      </c>
      <c r="F78" s="5" t="s">
        <v>39</v>
      </c>
      <c r="G78" s="6">
        <v>-225</v>
      </c>
      <c r="H78" s="6">
        <v>-229</v>
      </c>
      <c r="I78" s="6">
        <v>-233.2</v>
      </c>
      <c r="J78" s="6">
        <v>-237.4</v>
      </c>
      <c r="K78" s="6">
        <v>-241.6</v>
      </c>
      <c r="L78" s="6">
        <v>-246</v>
      </c>
      <c r="M78" s="6">
        <v>-250.4</v>
      </c>
      <c r="N78" s="6">
        <v>-254.9</v>
      </c>
      <c r="O78" s="6">
        <v>-259.5</v>
      </c>
      <c r="P78" s="6">
        <v>-264.2</v>
      </c>
      <c r="Q78" s="6">
        <v>-268.9</v>
      </c>
      <c r="R78" s="6">
        <v>-273.8</v>
      </c>
      <c r="S78" s="6">
        <v>-278.7</v>
      </c>
      <c r="T78" s="6">
        <v>-283.7</v>
      </c>
      <c r="U78" s="6">
        <v>-288.8</v>
      </c>
      <c r="V78" s="6">
        <v>-294</v>
      </c>
      <c r="W78" s="6">
        <v>-299.3</v>
      </c>
      <c r="X78" s="6">
        <v>-304.7</v>
      </c>
      <c r="Y78" s="6">
        <v>-310.2</v>
      </c>
      <c r="Z78" s="6">
        <v>-315.8</v>
      </c>
      <c r="AA78" s="6">
        <v>-321.5</v>
      </c>
      <c r="AB78" s="6">
        <v>-327.3</v>
      </c>
      <c r="AC78" s="6">
        <v>-333.1</v>
      </c>
      <c r="AD78" s="6">
        <v>-339.1</v>
      </c>
      <c r="AE78" s="7"/>
      <c r="AF78" s="6">
        <v>-210.28037383177568</v>
      </c>
      <c r="AG78" s="6">
        <v>-212.037037037037</v>
      </c>
      <c r="AH78" s="6">
        <v>-256.26373626373623</v>
      </c>
      <c r="AI78" s="6">
        <v>-263.77777777777777</v>
      </c>
      <c r="AJ78" s="6">
        <v>-230.09523809523807</v>
      </c>
      <c r="AK78" s="6">
        <v>-232.0754716981132</v>
      </c>
      <c r="AL78" s="6">
        <v>-269.247311827957</v>
      </c>
      <c r="AM78" s="6">
        <v>-277.0652173913043</v>
      </c>
      <c r="AN78" s="6">
        <v>-238.07339449541283</v>
      </c>
      <c r="AO78" s="6">
        <v>-240.18181818181816</v>
      </c>
      <c r="AP78" s="6">
        <v>-283.05263157894734</v>
      </c>
      <c r="AQ78" s="6">
        <v>-291.2765957446809</v>
      </c>
      <c r="AR78" s="6">
        <v>-260.46728971962614</v>
      </c>
      <c r="AS78" s="6">
        <v>-262.68518518518516</v>
      </c>
      <c r="AT78" s="6">
        <v>-317.3626373626374</v>
      </c>
      <c r="AU78" s="6">
        <v>-326.6666666666667</v>
      </c>
      <c r="AV78" s="6">
        <v>-285.04761904761904</v>
      </c>
      <c r="AW78" s="6">
        <v>-287.45283018867923</v>
      </c>
      <c r="AX78" s="6">
        <v>-333.5483870967742</v>
      </c>
      <c r="AY78" s="6">
        <v>-343.2608695652174</v>
      </c>
      <c r="AZ78" s="6">
        <v>-294.95412844036696</v>
      </c>
      <c r="BA78" s="6">
        <v>-297.5454545454545</v>
      </c>
      <c r="BB78" s="6">
        <v>-350.63157894736844</v>
      </c>
      <c r="BC78" s="6">
        <v>-360.7446808510639</v>
      </c>
    </row>
    <row r="79" ht="15.997499999999997" customHeight="1">
      <c r="A79" s="5" t="s">
        <v>35</v>
      </c>
      <c r="B79" s="5" t="s">
        <v>123</v>
      </c>
      <c r="C79" s="5" t="s">
        <v>124</v>
      </c>
      <c r="D79" s="5">
        <v>6250</v>
      </c>
      <c r="E79" s="5" t="s">
        <v>130</v>
      </c>
      <c r="F79" s="5" t="s">
        <v>39</v>
      </c>
      <c r="G79" s="6">
        <v>-66.6</v>
      </c>
      <c r="H79" s="6">
        <v>-68.1</v>
      </c>
      <c r="I79" s="6">
        <v>-70.3</v>
      </c>
      <c r="J79" s="6">
        <v>-70.5</v>
      </c>
      <c r="K79" s="6">
        <v>-72.7</v>
      </c>
      <c r="L79" s="6">
        <v>-74.3</v>
      </c>
      <c r="M79" s="6">
        <v>-72.3</v>
      </c>
      <c r="N79" s="6">
        <v>-71.7</v>
      </c>
      <c r="O79" s="6">
        <v>-75.6</v>
      </c>
      <c r="P79" s="6">
        <v>-77.2</v>
      </c>
      <c r="Q79" s="6">
        <v>-80.4</v>
      </c>
      <c r="R79" s="6">
        <v>-85.3</v>
      </c>
      <c r="S79" s="6">
        <v>-76.9</v>
      </c>
      <c r="T79" s="6">
        <v>-78.6</v>
      </c>
      <c r="U79" s="6">
        <v>-81.2</v>
      </c>
      <c r="V79" s="6">
        <v>-81.3</v>
      </c>
      <c r="W79" s="6">
        <v>-83.9</v>
      </c>
      <c r="X79" s="6">
        <v>-85.8</v>
      </c>
      <c r="Y79" s="6">
        <v>-83.4</v>
      </c>
      <c r="Z79" s="6">
        <v>-82.7</v>
      </c>
      <c r="AA79" s="6">
        <v>-87.2</v>
      </c>
      <c r="AB79" s="6">
        <v>-89.1</v>
      </c>
      <c r="AC79" s="6">
        <v>-92.8</v>
      </c>
      <c r="AD79" s="6">
        <v>-98.4</v>
      </c>
      <c r="AE79" s="7"/>
      <c r="AF79" s="6">
        <v>-61.66666666666666</v>
      </c>
      <c r="AG79" s="6">
        <v>-62.47706422018348</v>
      </c>
      <c r="AH79" s="6">
        <v>-78.1111111111111</v>
      </c>
      <c r="AI79" s="6">
        <v>-74.21052631578948</v>
      </c>
      <c r="AJ79" s="6">
        <v>-68.58490566037736</v>
      </c>
      <c r="AK79" s="6">
        <v>-69.43925233644859</v>
      </c>
      <c r="AL79" s="6">
        <v>-78.58695652173913</v>
      </c>
      <c r="AM79" s="6">
        <v>-78.79120879120879</v>
      </c>
      <c r="AN79" s="6">
        <v>-68.72727272727272</v>
      </c>
      <c r="AO79" s="6">
        <v>-73.52380952380952</v>
      </c>
      <c r="AP79" s="6">
        <v>-85.53191489361703</v>
      </c>
      <c r="AQ79" s="6">
        <v>-91.72043010752688</v>
      </c>
      <c r="AR79" s="6">
        <v>-71.20370370370371</v>
      </c>
      <c r="AS79" s="6">
        <v>-72.11009174311926</v>
      </c>
      <c r="AT79" s="6">
        <v>-90.22222222222223</v>
      </c>
      <c r="AU79" s="6">
        <v>-85.57894736842105</v>
      </c>
      <c r="AV79" s="6">
        <v>-79.15094339622641</v>
      </c>
      <c r="AW79" s="6">
        <v>-80.18691588785046</v>
      </c>
      <c r="AX79" s="6">
        <v>-90.65217391304348</v>
      </c>
      <c r="AY79" s="6">
        <v>-90.87912087912088</v>
      </c>
      <c r="AZ79" s="6">
        <v>-79.27272727272727</v>
      </c>
      <c r="BA79" s="6">
        <v>-84.85714285714285</v>
      </c>
      <c r="BB79" s="6">
        <v>-98.72340425531915</v>
      </c>
      <c r="BC79" s="6">
        <v>-105.80645161290325</v>
      </c>
    </row>
    <row r="80" ht="15.997499999999997" customHeight="1">
      <c r="A80" s="5" t="s">
        <v>35</v>
      </c>
      <c r="B80" s="5" t="s">
        <v>123</v>
      </c>
      <c r="C80" s="5" t="s">
        <v>124</v>
      </c>
      <c r="D80" s="5">
        <v>6260</v>
      </c>
      <c r="E80" s="5" t="s">
        <v>131</v>
      </c>
      <c r="F80" s="5" t="s">
        <v>39</v>
      </c>
      <c r="G80" s="6">
        <v>-92</v>
      </c>
      <c r="H80" s="6">
        <v>-92.4</v>
      </c>
      <c r="I80" s="6">
        <v>-92.7</v>
      </c>
      <c r="J80" s="6">
        <v>-93.1</v>
      </c>
      <c r="K80" s="6">
        <v>-93.5</v>
      </c>
      <c r="L80" s="6">
        <v>-93.9</v>
      </c>
      <c r="M80" s="6">
        <v>-94.2</v>
      </c>
      <c r="N80" s="6">
        <v>-94.6</v>
      </c>
      <c r="O80" s="6">
        <v>-95</v>
      </c>
      <c r="P80" s="6">
        <v>-95.4</v>
      </c>
      <c r="Q80" s="6">
        <v>-95.7</v>
      </c>
      <c r="R80" s="6">
        <v>-96.1</v>
      </c>
      <c r="S80" s="6">
        <v>-96.5</v>
      </c>
      <c r="T80" s="6">
        <v>-96.9</v>
      </c>
      <c r="U80" s="6">
        <v>-97.3</v>
      </c>
      <c r="V80" s="6">
        <v>-97.7</v>
      </c>
      <c r="W80" s="6">
        <v>-98.1</v>
      </c>
      <c r="X80" s="6">
        <v>-98.5</v>
      </c>
      <c r="Y80" s="6">
        <v>-98.9</v>
      </c>
      <c r="Z80" s="6">
        <v>-99.2</v>
      </c>
      <c r="AA80" s="6">
        <v>-99.6</v>
      </c>
      <c r="AB80" s="6">
        <v>-100</v>
      </c>
      <c r="AC80" s="6">
        <v>-100.4</v>
      </c>
      <c r="AD80" s="6">
        <v>-100.8</v>
      </c>
      <c r="AE80" s="7"/>
      <c r="AF80" s="6">
        <v>-84.40366972477064</v>
      </c>
      <c r="AG80" s="6">
        <v>-84</v>
      </c>
      <c r="AH80" s="6">
        <v>-97.57894736842105</v>
      </c>
      <c r="AI80" s="6">
        <v>-99.04255319148936</v>
      </c>
      <c r="AJ80" s="6">
        <v>-87.38317757009345</v>
      </c>
      <c r="AK80" s="6">
        <v>-86.94444444444444</v>
      </c>
      <c r="AL80" s="6">
        <v>-103.51648351648352</v>
      </c>
      <c r="AM80" s="6">
        <v>-105.1111111111111</v>
      </c>
      <c r="AN80" s="6">
        <v>-90.47619047619047</v>
      </c>
      <c r="AO80" s="6">
        <v>-90</v>
      </c>
      <c r="AP80" s="6">
        <v>-102.90322580645163</v>
      </c>
      <c r="AQ80" s="6">
        <v>-104.45652173913042</v>
      </c>
      <c r="AR80" s="6">
        <v>-88.5321100917431</v>
      </c>
      <c r="AS80" s="6">
        <v>-88.0909090909091</v>
      </c>
      <c r="AT80" s="6">
        <v>-102.42105263157895</v>
      </c>
      <c r="AU80" s="6">
        <v>-103.93617021276597</v>
      </c>
      <c r="AV80" s="6">
        <v>-91.68224299065419</v>
      </c>
      <c r="AW80" s="6">
        <v>-91.2037037037037</v>
      </c>
      <c r="AX80" s="6">
        <v>-108.68131868131869</v>
      </c>
      <c r="AY80" s="6">
        <v>-110.22222222222223</v>
      </c>
      <c r="AZ80" s="6">
        <v>-94.85714285714285</v>
      </c>
      <c r="BA80" s="6">
        <v>-94.33962264150944</v>
      </c>
      <c r="BB80" s="6">
        <v>-107.95698924731184</v>
      </c>
      <c r="BC80" s="6">
        <v>-109.56521739130434</v>
      </c>
    </row>
    <row r="81" ht="15.997499999999997" customHeight="1">
      <c r="A81" s="8" t="s">
        <v>35</v>
      </c>
      <c r="B81" s="8" t="s">
        <v>123</v>
      </c>
      <c r="C81" s="8" t="s">
        <v>42</v>
      </c>
      <c r="D81" s="8" t="s">
        <v>43</v>
      </c>
      <c r="E81" s="8" t="s">
        <v>132</v>
      </c>
      <c r="F81" s="8" t="s">
        <v>39</v>
      </c>
      <c r="G81" s="9">
        <f t="shared" si="4" ref="G81:BC81">SUM(G74:G80)</f>
        <v>-1030.3</v>
      </c>
      <c r="H81" s="9">
        <f t="shared" si="4"/>
        <v>-1047.2</v>
      </c>
      <c r="I81" s="9">
        <f t="shared" si="4"/>
        <v>-1066.3</v>
      </c>
      <c r="J81" s="9">
        <f t="shared" si="4"/>
        <v>-1080</v>
      </c>
      <c r="K81" s="9">
        <f t="shared" si="4"/>
        <v>-1099.6</v>
      </c>
      <c r="L81" s="9">
        <f t="shared" si="4"/>
        <v>-1117.9</v>
      </c>
      <c r="M81" s="9">
        <f t="shared" si="4"/>
        <v>-1126.3</v>
      </c>
      <c r="N81" s="9">
        <f t="shared" si="4"/>
        <v>-1138.9</v>
      </c>
      <c r="O81" s="9">
        <f t="shared" si="4"/>
        <v>-1163.9</v>
      </c>
      <c r="P81" s="9">
        <f t="shared" si="4"/>
        <v>-1183.1</v>
      </c>
      <c r="Q81" s="9">
        <f t="shared" si="4"/>
        <v>-1206.6</v>
      </c>
      <c r="R81" s="9">
        <f t="shared" si="4"/>
        <v>-1235</v>
      </c>
      <c r="S81" s="9">
        <f t="shared" si="4"/>
        <v>-1227.8</v>
      </c>
      <c r="T81" s="9">
        <f t="shared" si="4"/>
        <v>-1248.1</v>
      </c>
      <c r="U81" s="9">
        <f t="shared" si="4"/>
        <v>-1271.2</v>
      </c>
      <c r="V81" s="9">
        <f t="shared" si="4"/>
        <v>-1287.6</v>
      </c>
      <c r="W81" s="9">
        <f t="shared" si="4"/>
        <v>-1311.4</v>
      </c>
      <c r="X81" s="9">
        <f t="shared" si="4"/>
        <v>-1333.2</v>
      </c>
      <c r="Y81" s="9">
        <f t="shared" si="4"/>
        <v>-1343.9</v>
      </c>
      <c r="Z81" s="9">
        <f t="shared" si="4"/>
        <v>-1359.3</v>
      </c>
      <c r="AA81" s="9">
        <f t="shared" si="4"/>
        <v>-1389</v>
      </c>
      <c r="AB81" s="9">
        <f t="shared" si="4"/>
        <v>-1412.2</v>
      </c>
      <c r="AC81" s="9">
        <f t="shared" si="4"/>
        <v>-1440.4</v>
      </c>
      <c r="AD81" s="9">
        <f t="shared" si="4"/>
        <v>-1474.1</v>
      </c>
      <c r="AE81" s="10"/>
      <c r="AF81" s="9">
        <f t="shared" si="4"/>
        <v>-957.920433270346</v>
      </c>
      <c r="AG81" s="9">
        <f t="shared" si="4"/>
        <v>-971.889165856408</v>
      </c>
      <c r="AH81" s="9">
        <f t="shared" si="4"/>
        <v>-1147.33230936559</v>
      </c>
      <c r="AI81" s="9">
        <f t="shared" si="4"/>
        <v>-1169.68577224765</v>
      </c>
      <c r="AJ81" s="9">
        <f t="shared" si="4"/>
        <v>-1024.83304029366</v>
      </c>
      <c r="AK81" s="9">
        <f t="shared" si="4"/>
        <v>-1038.79948735144</v>
      </c>
      <c r="AL81" s="9">
        <f t="shared" si="4"/>
        <v>-1219.26509582756</v>
      </c>
      <c r="AM81" s="9">
        <f t="shared" si="4"/>
        <v>-1235.37399613118</v>
      </c>
      <c r="AN81" s="9">
        <f t="shared" si="4"/>
        <v>-1087.67097135053</v>
      </c>
      <c r="AO81" s="9">
        <f t="shared" si="4"/>
        <v>-1099.3154351126</v>
      </c>
      <c r="AP81" s="9">
        <f t="shared" si="4"/>
        <v>-1302.18350493969</v>
      </c>
      <c r="AQ81" s="9">
        <f t="shared" si="4"/>
        <v>-1337.16766147136</v>
      </c>
      <c r="AR81" s="9">
        <f t="shared" si="4"/>
        <v>-1141.29751132871</v>
      </c>
      <c r="AS81" s="9">
        <f t="shared" si="4"/>
        <v>-1158.42843217017</v>
      </c>
      <c r="AT81" s="9">
        <f t="shared" si="4"/>
        <v>-1367.90326590025</v>
      </c>
      <c r="AU81" s="9">
        <f t="shared" si="4"/>
        <v>-1394.82001063309</v>
      </c>
      <c r="AV81" s="9">
        <f t="shared" si="4"/>
        <v>-1222.59696298012</v>
      </c>
      <c r="AW81" s="9">
        <f t="shared" si="4"/>
        <v>-1238.97800635516</v>
      </c>
      <c r="AX81" s="9">
        <f t="shared" si="4"/>
        <v>-1455.20959204348</v>
      </c>
      <c r="AY81" s="9">
        <f t="shared" si="4"/>
        <v>-1474.33671767766</v>
      </c>
      <c r="AZ81" s="9">
        <f t="shared" si="4"/>
        <v>-1297.96045765521</v>
      </c>
      <c r="BA81" s="9">
        <f t="shared" si="4"/>
        <v>-1311.96765492622</v>
      </c>
      <c r="BB81" s="9">
        <f t="shared" si="4"/>
        <v>-1553.96397939584</v>
      </c>
      <c r="BC81" s="9">
        <f t="shared" si="4"/>
        <v>-1595.89080410684</v>
      </c>
    </row>
    <row r="82" ht="15.997499999999997" customHeight="1">
      <c r="A82" s="5" t="s">
        <v>45</v>
      </c>
      <c r="B82" s="5" t="s">
        <v>45</v>
      </c>
      <c r="C82" s="5" t="s">
        <v>45</v>
      </c>
      <c r="D82" s="5" t="s">
        <v>45</v>
      </c>
      <c r="E82" s="5" t="s">
        <v>45</v>
      </c>
      <c r="F82" s="5" t="s">
        <v>45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7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</row>
    <row r="83" ht="15.997499999999997" customHeight="1">
      <c r="A83" s="5" t="s">
        <v>35</v>
      </c>
      <c r="B83" s="5" t="s">
        <v>133</v>
      </c>
      <c r="C83" s="5" t="s">
        <v>134</v>
      </c>
      <c r="D83" s="5">
        <v>7000</v>
      </c>
      <c r="E83" s="5" t="s">
        <v>135</v>
      </c>
      <c r="F83" s="5" t="s">
        <v>39</v>
      </c>
      <c r="G83" s="6">
        <v>-72</v>
      </c>
      <c r="H83" s="6">
        <v>-72.7</v>
      </c>
      <c r="I83" s="6">
        <v>-73.4</v>
      </c>
      <c r="J83" s="6">
        <v>-74.2</v>
      </c>
      <c r="K83" s="6">
        <v>-74.9</v>
      </c>
      <c r="L83" s="6">
        <v>-75.7</v>
      </c>
      <c r="M83" s="6">
        <v>-76.4</v>
      </c>
      <c r="N83" s="6">
        <v>-77.2</v>
      </c>
      <c r="O83" s="6">
        <v>-78</v>
      </c>
      <c r="P83" s="6">
        <v>-78.7</v>
      </c>
      <c r="Q83" s="6">
        <v>-79.5</v>
      </c>
      <c r="R83" s="6">
        <v>-80.3</v>
      </c>
      <c r="S83" s="6">
        <v>-81.1</v>
      </c>
      <c r="T83" s="6">
        <v>-81.9</v>
      </c>
      <c r="U83" s="6">
        <v>-82.8</v>
      </c>
      <c r="V83" s="6">
        <v>-83.6</v>
      </c>
      <c r="W83" s="6">
        <v>-84.4</v>
      </c>
      <c r="X83" s="6">
        <v>-85.3</v>
      </c>
      <c r="Y83" s="6">
        <v>-86.1</v>
      </c>
      <c r="Z83" s="6">
        <v>-87</v>
      </c>
      <c r="AA83" s="6">
        <v>-87.9</v>
      </c>
      <c r="AB83" s="6">
        <v>-88.7</v>
      </c>
      <c r="AC83" s="6">
        <v>-89.6</v>
      </c>
      <c r="AD83" s="6">
        <v>-90.5</v>
      </c>
      <c r="AE83" s="7"/>
      <c r="AF83" s="6">
        <v>-67.9245283018868</v>
      </c>
      <c r="AG83" s="6">
        <v>-67.94392523364486</v>
      </c>
      <c r="AH83" s="6">
        <v>-79.78260869565217</v>
      </c>
      <c r="AI83" s="6">
        <v>-81.53846153846153</v>
      </c>
      <c r="AJ83" s="6">
        <v>-68.0909090909091</v>
      </c>
      <c r="AK83" s="6">
        <v>-72.09523809523809</v>
      </c>
      <c r="AL83" s="6">
        <v>-81.27659574468086</v>
      </c>
      <c r="AM83" s="6">
        <v>-83.01075268817205</v>
      </c>
      <c r="AN83" s="6">
        <v>-72.22222222222221</v>
      </c>
      <c r="AO83" s="6">
        <v>-72.20183486238531</v>
      </c>
      <c r="AP83" s="6">
        <v>-88.33333333333333</v>
      </c>
      <c r="AQ83" s="6">
        <v>-84.52631578947368</v>
      </c>
      <c r="AR83" s="6">
        <v>-76.50943396226414</v>
      </c>
      <c r="AS83" s="6">
        <v>-76.54205607476635</v>
      </c>
      <c r="AT83" s="6">
        <v>-90</v>
      </c>
      <c r="AU83" s="6">
        <v>-91.86813186813185</v>
      </c>
      <c r="AV83" s="6">
        <v>-76.72727272727272</v>
      </c>
      <c r="AW83" s="6">
        <v>-81.23809523809523</v>
      </c>
      <c r="AX83" s="6">
        <v>-91.59574468085107</v>
      </c>
      <c r="AY83" s="6">
        <v>-93.5483870967742</v>
      </c>
      <c r="AZ83" s="6">
        <v>-81.38888888888889</v>
      </c>
      <c r="BA83" s="6">
        <v>-81.37614678899082</v>
      </c>
      <c r="BB83" s="6">
        <v>-99.55555555555554</v>
      </c>
      <c r="BC83" s="6">
        <v>-95.26315789473685</v>
      </c>
    </row>
    <row r="84" ht="15.997499999999997" customHeight="1">
      <c r="A84" s="5" t="s">
        <v>35</v>
      </c>
      <c r="B84" s="5" t="s">
        <v>133</v>
      </c>
      <c r="C84" s="5" t="s">
        <v>134</v>
      </c>
      <c r="D84" s="5">
        <v>7010</v>
      </c>
      <c r="E84" s="5" t="s">
        <v>136</v>
      </c>
      <c r="F84" s="5" t="s">
        <v>39</v>
      </c>
      <c r="G84" s="6">
        <v>-24</v>
      </c>
      <c r="H84" s="6">
        <v>-24.2</v>
      </c>
      <c r="I84" s="6">
        <v>-24.5</v>
      </c>
      <c r="J84" s="6">
        <v>-24.7</v>
      </c>
      <c r="K84" s="6">
        <v>-25</v>
      </c>
      <c r="L84" s="6">
        <v>-25.2</v>
      </c>
      <c r="M84" s="6">
        <v>-25.5</v>
      </c>
      <c r="N84" s="6">
        <v>-25.7</v>
      </c>
      <c r="O84" s="6">
        <v>-26</v>
      </c>
      <c r="P84" s="6">
        <v>-26.2</v>
      </c>
      <c r="Q84" s="6">
        <v>-26.5</v>
      </c>
      <c r="R84" s="6">
        <v>-26.8</v>
      </c>
      <c r="S84" s="6">
        <v>-27</v>
      </c>
      <c r="T84" s="6">
        <v>-27.3</v>
      </c>
      <c r="U84" s="6">
        <v>-27.6</v>
      </c>
      <c r="V84" s="6">
        <v>-27.9</v>
      </c>
      <c r="W84" s="6">
        <v>-28.1</v>
      </c>
      <c r="X84" s="6">
        <v>-28.4</v>
      </c>
      <c r="Y84" s="6">
        <v>-28.7</v>
      </c>
      <c r="Z84" s="6">
        <v>-29</v>
      </c>
      <c r="AA84" s="6">
        <v>-29.3</v>
      </c>
      <c r="AB84" s="6">
        <v>-29.6</v>
      </c>
      <c r="AC84" s="6">
        <v>-29.9</v>
      </c>
      <c r="AD84" s="6">
        <v>-30.2</v>
      </c>
      <c r="AE84" s="7"/>
      <c r="AF84" s="6">
        <v>-22.429906542056074</v>
      </c>
      <c r="AG84" s="6">
        <v>-22.407407407407405</v>
      </c>
      <c r="AH84" s="6">
        <v>-26.923076923076923</v>
      </c>
      <c r="AI84" s="6">
        <v>-27.444444444444443</v>
      </c>
      <c r="AJ84" s="6">
        <v>-23.80952380952381</v>
      </c>
      <c r="AK84" s="6">
        <v>-23.773584905660375</v>
      </c>
      <c r="AL84" s="6">
        <v>-27.41935483870968</v>
      </c>
      <c r="AM84" s="6">
        <v>-27.93478260869565</v>
      </c>
      <c r="AN84" s="6">
        <v>-23.85321100917431</v>
      </c>
      <c r="AO84" s="6">
        <v>-23.818181818181817</v>
      </c>
      <c r="AP84" s="6">
        <v>-27.894736842105264</v>
      </c>
      <c r="AQ84" s="6">
        <v>-28.510638297872344</v>
      </c>
      <c r="AR84" s="6">
        <v>-25.233644859813083</v>
      </c>
      <c r="AS84" s="6">
        <v>-25.277777777777775</v>
      </c>
      <c r="AT84" s="6">
        <v>-30.32967032967033</v>
      </c>
      <c r="AU84" s="6">
        <v>-30.999999999999996</v>
      </c>
      <c r="AV84" s="6">
        <v>-26.761904761904763</v>
      </c>
      <c r="AW84" s="6">
        <v>-26.792452830188676</v>
      </c>
      <c r="AX84" s="6">
        <v>-30.860215053763444</v>
      </c>
      <c r="AY84" s="6">
        <v>-31.52173913043478</v>
      </c>
      <c r="AZ84" s="6">
        <v>-26.880733944954127</v>
      </c>
      <c r="BA84" s="6">
        <v>-26.909090909090907</v>
      </c>
      <c r="BB84" s="6">
        <v>-31.473684210526315</v>
      </c>
      <c r="BC84" s="6">
        <v>-32.12765957446808</v>
      </c>
    </row>
    <row r="85" ht="15.997499999999997" customHeight="1">
      <c r="A85" s="5" t="s">
        <v>35</v>
      </c>
      <c r="B85" s="5" t="s">
        <v>133</v>
      </c>
      <c r="C85" s="5" t="s">
        <v>134</v>
      </c>
      <c r="D85" s="5">
        <v>7100</v>
      </c>
      <c r="E85" s="5" t="s">
        <v>137</v>
      </c>
      <c r="F85" s="5" t="s">
        <v>39</v>
      </c>
      <c r="G85" s="6">
        <v>-38</v>
      </c>
      <c r="H85" s="6">
        <v>-38.4</v>
      </c>
      <c r="I85" s="6">
        <v>-38.8</v>
      </c>
      <c r="J85" s="6">
        <v>-39.2</v>
      </c>
      <c r="K85" s="6">
        <v>-39.5</v>
      </c>
      <c r="L85" s="6">
        <v>-39.9</v>
      </c>
      <c r="M85" s="6">
        <v>-40.3</v>
      </c>
      <c r="N85" s="6">
        <v>-40.7</v>
      </c>
      <c r="O85" s="6">
        <v>-41.1</v>
      </c>
      <c r="P85" s="6">
        <v>-41.6</v>
      </c>
      <c r="Q85" s="6">
        <v>-42</v>
      </c>
      <c r="R85" s="6">
        <v>-42.4</v>
      </c>
      <c r="S85" s="6">
        <v>-42.8</v>
      </c>
      <c r="T85" s="6">
        <v>-43.2</v>
      </c>
      <c r="U85" s="6">
        <v>-43.7</v>
      </c>
      <c r="V85" s="6">
        <v>-44.1</v>
      </c>
      <c r="W85" s="6">
        <v>-44.6</v>
      </c>
      <c r="X85" s="6">
        <v>-45</v>
      </c>
      <c r="Y85" s="6">
        <v>-45.5</v>
      </c>
      <c r="Z85" s="6">
        <v>-45.9</v>
      </c>
      <c r="AA85" s="6">
        <v>-46.4</v>
      </c>
      <c r="AB85" s="6">
        <v>-46.8</v>
      </c>
      <c r="AC85" s="6">
        <v>-47.3</v>
      </c>
      <c r="AD85" s="6">
        <v>-47.8</v>
      </c>
      <c r="AE85" s="7"/>
      <c r="AF85" s="6">
        <v>-35.18518518518518</v>
      </c>
      <c r="AG85" s="6">
        <v>-35.22935779816513</v>
      </c>
      <c r="AH85" s="6">
        <v>-43.11111111111111</v>
      </c>
      <c r="AI85" s="6">
        <v>-41.26315789473685</v>
      </c>
      <c r="AJ85" s="6">
        <v>-37.264150943396224</v>
      </c>
      <c r="AK85" s="6">
        <v>-37.28971962616822</v>
      </c>
      <c r="AL85" s="6">
        <v>-43.80434782608695</v>
      </c>
      <c r="AM85" s="6">
        <v>-44.72527472527473</v>
      </c>
      <c r="AN85" s="6">
        <v>-37.36363636363636</v>
      </c>
      <c r="AO85" s="6">
        <v>-39.61904761904762</v>
      </c>
      <c r="AP85" s="6">
        <v>-44.68085106382979</v>
      </c>
      <c r="AQ85" s="6">
        <v>-45.59139784946237</v>
      </c>
      <c r="AR85" s="6">
        <v>-39.629629629629626</v>
      </c>
      <c r="AS85" s="6">
        <v>-39.63302752293578</v>
      </c>
      <c r="AT85" s="6">
        <v>-48.55555555555556</v>
      </c>
      <c r="AU85" s="6">
        <v>-46.42105263157895</v>
      </c>
      <c r="AV85" s="6">
        <v>-42.075471698113205</v>
      </c>
      <c r="AW85" s="6">
        <v>-42.05607476635514</v>
      </c>
      <c r="AX85" s="6">
        <v>-49.45652173913043</v>
      </c>
      <c r="AY85" s="6">
        <v>-50.43956043956044</v>
      </c>
      <c r="AZ85" s="6">
        <v>-42.18181818181818</v>
      </c>
      <c r="BA85" s="6">
        <v>-44.57142857142857</v>
      </c>
      <c r="BB85" s="6">
        <v>-50.319148936170215</v>
      </c>
      <c r="BC85" s="6">
        <v>-51.39784946236559</v>
      </c>
    </row>
    <row r="86" ht="15.997499999999997" customHeight="1">
      <c r="A86" s="5" t="s">
        <v>35</v>
      </c>
      <c r="B86" s="5" t="s">
        <v>133</v>
      </c>
      <c r="C86" s="5" t="s">
        <v>134</v>
      </c>
      <c r="D86" s="5">
        <v>7110</v>
      </c>
      <c r="E86" s="5" t="s">
        <v>138</v>
      </c>
      <c r="F86" s="5" t="s">
        <v>39</v>
      </c>
      <c r="G86" s="6">
        <v>-96</v>
      </c>
      <c r="H86" s="6">
        <v>-97</v>
      </c>
      <c r="I86" s="6">
        <v>-97.9</v>
      </c>
      <c r="J86" s="6">
        <v>-98.9</v>
      </c>
      <c r="K86" s="6">
        <v>-99.9</v>
      </c>
      <c r="L86" s="6">
        <v>-100.9</v>
      </c>
      <c r="M86" s="6">
        <v>-101.9</v>
      </c>
      <c r="N86" s="6">
        <v>-102.9</v>
      </c>
      <c r="O86" s="6">
        <v>-104</v>
      </c>
      <c r="P86" s="6">
        <v>-105</v>
      </c>
      <c r="Q86" s="6">
        <v>-106</v>
      </c>
      <c r="R86" s="6">
        <v>-107.1</v>
      </c>
      <c r="S86" s="6">
        <v>-108.2</v>
      </c>
      <c r="T86" s="6">
        <v>-109.3</v>
      </c>
      <c r="U86" s="6">
        <v>-110.3</v>
      </c>
      <c r="V86" s="6">
        <v>-111.5</v>
      </c>
      <c r="W86" s="6">
        <v>-112.6</v>
      </c>
      <c r="X86" s="6">
        <v>-113.7</v>
      </c>
      <c r="Y86" s="6">
        <v>-114.8</v>
      </c>
      <c r="Z86" s="6">
        <v>-116</v>
      </c>
      <c r="AA86" s="6">
        <v>-117.1</v>
      </c>
      <c r="AB86" s="6">
        <v>-118.3</v>
      </c>
      <c r="AC86" s="6">
        <v>-119.5</v>
      </c>
      <c r="AD86" s="6">
        <v>-120.7</v>
      </c>
      <c r="AE86" s="7"/>
      <c r="AF86" s="6">
        <v>-88.07339449541284</v>
      </c>
      <c r="AG86" s="6">
        <v>-88.18181818181817</v>
      </c>
      <c r="AH86" s="6">
        <v>-103.05263157894738</v>
      </c>
      <c r="AI86" s="6">
        <v>-105.21276595744682</v>
      </c>
      <c r="AJ86" s="6">
        <v>-93.3644859813084</v>
      </c>
      <c r="AK86" s="6">
        <v>-93.42592592592592</v>
      </c>
      <c r="AL86" s="6">
        <v>-111.97802197802199</v>
      </c>
      <c r="AM86" s="6">
        <v>-114.33333333333334</v>
      </c>
      <c r="AN86" s="6">
        <v>-99.04761904761904</v>
      </c>
      <c r="AO86" s="6">
        <v>-99.0566037735849</v>
      </c>
      <c r="AP86" s="6">
        <v>-113.97849462365592</v>
      </c>
      <c r="AQ86" s="6">
        <v>-116.41304347826086</v>
      </c>
      <c r="AR86" s="6">
        <v>-99.26605504587155</v>
      </c>
      <c r="AS86" s="6">
        <v>-99.36363636363636</v>
      </c>
      <c r="AT86" s="6">
        <v>-116.10526315789474</v>
      </c>
      <c r="AU86" s="6">
        <v>-118.61702127659575</v>
      </c>
      <c r="AV86" s="6">
        <v>-105.23364485981307</v>
      </c>
      <c r="AW86" s="6">
        <v>-105.27777777777777</v>
      </c>
      <c r="AX86" s="6">
        <v>-126.15384615384615</v>
      </c>
      <c r="AY86" s="6">
        <v>-128.88888888888889</v>
      </c>
      <c r="AZ86" s="6">
        <v>-111.52380952380952</v>
      </c>
      <c r="BA86" s="6">
        <v>-111.60377358490565</v>
      </c>
      <c r="BB86" s="6">
        <v>-128.49462365591398</v>
      </c>
      <c r="BC86" s="6">
        <v>-131.19565217391303</v>
      </c>
    </row>
    <row r="87" ht="15.997499999999997" customHeight="1">
      <c r="A87" s="8" t="s">
        <v>35</v>
      </c>
      <c r="B87" s="8" t="s">
        <v>133</v>
      </c>
      <c r="C87" s="8" t="s">
        <v>42</v>
      </c>
      <c r="D87" s="8" t="s">
        <v>43</v>
      </c>
      <c r="E87" s="8" t="s">
        <v>139</v>
      </c>
      <c r="F87" s="8" t="s">
        <v>39</v>
      </c>
      <c r="G87" s="9">
        <f t="shared" si="3"/>
        <v>-230</v>
      </c>
      <c r="H87" s="9">
        <f t="shared" si="3"/>
        <v>-232.3</v>
      </c>
      <c r="I87" s="9">
        <f t="shared" si="3"/>
        <v>-234.6</v>
      </c>
      <c r="J87" s="9">
        <f t="shared" si="3"/>
        <v>-237</v>
      </c>
      <c r="K87" s="9">
        <f t="shared" si="3"/>
        <v>-239.3</v>
      </c>
      <c r="L87" s="9">
        <f t="shared" si="3"/>
        <v>-241.7</v>
      </c>
      <c r="M87" s="9">
        <f t="shared" si="3"/>
        <v>-244.1</v>
      </c>
      <c r="N87" s="9">
        <f t="shared" si="3"/>
        <v>-246.5</v>
      </c>
      <c r="O87" s="9">
        <f t="shared" si="3"/>
        <v>-249.1</v>
      </c>
      <c r="P87" s="9">
        <f t="shared" si="3"/>
        <v>-251.5</v>
      </c>
      <c r="Q87" s="9">
        <f t="shared" si="3"/>
        <v>-254</v>
      </c>
      <c r="R87" s="9">
        <f t="shared" si="3"/>
        <v>-256.6</v>
      </c>
      <c r="S87" s="9">
        <f t="shared" si="3"/>
        <v>-259.1</v>
      </c>
      <c r="T87" s="9">
        <f t="shared" si="3"/>
        <v>-261.7</v>
      </c>
      <c r="U87" s="9">
        <f t="shared" si="3"/>
        <v>-264.4</v>
      </c>
      <c r="V87" s="9">
        <f t="shared" si="3"/>
        <v>-267.1</v>
      </c>
      <c r="W87" s="9">
        <f t="shared" si="3"/>
        <v>-269.7</v>
      </c>
      <c r="X87" s="9">
        <f t="shared" si="3"/>
        <v>-272.4</v>
      </c>
      <c r="Y87" s="9">
        <f t="shared" si="3"/>
        <v>-275.1</v>
      </c>
      <c r="Z87" s="9">
        <f t="shared" si="3"/>
        <v>-277.9</v>
      </c>
      <c r="AA87" s="9">
        <f t="shared" si="3"/>
        <v>-280.7</v>
      </c>
      <c r="AB87" s="9">
        <f t="shared" si="3"/>
        <v>-283.4</v>
      </c>
      <c r="AC87" s="9">
        <f t="shared" si="3"/>
        <v>-286.3</v>
      </c>
      <c r="AD87" s="9">
        <f t="shared" si="3"/>
        <v>-289.2</v>
      </c>
      <c r="AE87" s="10"/>
      <c r="AF87" s="9">
        <f t="shared" si="3"/>
        <v>-213.613014524541</v>
      </c>
      <c r="AG87" s="9">
        <f t="shared" si="3"/>
        <v>-213.762508621036</v>
      </c>
      <c r="AH87" s="9">
        <f t="shared" si="3"/>
        <v>-252.869428308788</v>
      </c>
      <c r="AI87" s="9">
        <f t="shared" si="3"/>
        <v>-255.45882983509</v>
      </c>
      <c r="AJ87" s="9">
        <f t="shared" si="3"/>
        <v>-222.529069825138</v>
      </c>
      <c r="AK87" s="9">
        <f t="shared" si="3"/>
        <v>-226.584468552993</v>
      </c>
      <c r="AL87" s="9">
        <f t="shared" si="3"/>
        <v>-264.478320387499</v>
      </c>
      <c r="AM87" s="9">
        <f t="shared" si="3"/>
        <v>-270.004143355476</v>
      </c>
      <c r="AN87" s="9">
        <f t="shared" si="3"/>
        <v>-232.486688642652</v>
      </c>
      <c r="AO87" s="9">
        <f t="shared" si="3"/>
        <v>-234.6956680732</v>
      </c>
      <c r="AP87" s="9">
        <f t="shared" si="3"/>
        <v>-274.887415862924</v>
      </c>
      <c r="AQ87" s="9">
        <f t="shared" si="3"/>
        <v>-275.041395415069</v>
      </c>
      <c r="AR87" s="9">
        <f t="shared" si="3"/>
        <v>-240.638763497578</v>
      </c>
      <c r="AS87" s="9">
        <f t="shared" si="3"/>
        <v>-240.816497739116</v>
      </c>
      <c r="AT87" s="9">
        <f t="shared" si="3"/>
        <v>-284.990489043121</v>
      </c>
      <c r="AU87" s="9">
        <f t="shared" si="3"/>
        <v>-287.906205776307</v>
      </c>
      <c r="AV87" s="9">
        <f t="shared" si="3"/>
        <v>-250.798294047104</v>
      </c>
      <c r="AW87" s="9">
        <f t="shared" si="3"/>
        <v>-255.364400612417</v>
      </c>
      <c r="AX87" s="9">
        <f t="shared" si="3"/>
        <v>-298.066327627591</v>
      </c>
      <c r="AY87" s="9">
        <f t="shared" si="3"/>
        <v>-304.398575555658</v>
      </c>
      <c r="AZ87" s="9">
        <f t="shared" si="3"/>
        <v>-261.975250539471</v>
      </c>
      <c r="BA87" s="9">
        <f t="shared" si="3"/>
        <v>-264.460439854416</v>
      </c>
      <c r="BB87" s="9">
        <f t="shared" si="3"/>
        <v>-309.843012358166</v>
      </c>
      <c r="BC87" s="9">
        <f t="shared" si="3"/>
        <v>-309.984319105484</v>
      </c>
    </row>
    <row r="88" ht="15.997499999999997" customHeight="1">
      <c r="A88" s="5" t="s">
        <v>45</v>
      </c>
      <c r="B88" s="5" t="s">
        <v>45</v>
      </c>
      <c r="C88" s="5" t="s">
        <v>45</v>
      </c>
      <c r="D88" s="5" t="s">
        <v>45</v>
      </c>
      <c r="E88" s="5" t="s">
        <v>45</v>
      </c>
      <c r="F88" s="5" t="s">
        <v>45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7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</row>
    <row r="89" ht="15.997499999999997" customHeight="1">
      <c r="A89" s="5" t="s">
        <v>35</v>
      </c>
      <c r="B89" s="5" t="s">
        <v>140</v>
      </c>
      <c r="C89" s="5" t="s">
        <v>141</v>
      </c>
      <c r="D89" s="5">
        <v>7500</v>
      </c>
      <c r="E89" s="5" t="s">
        <v>142</v>
      </c>
      <c r="F89" s="5" t="s">
        <v>39</v>
      </c>
      <c r="G89" s="6">
        <v>-248</v>
      </c>
      <c r="H89" s="6">
        <v>-247</v>
      </c>
      <c r="I89" s="6">
        <v>-246</v>
      </c>
      <c r="J89" s="6">
        <v>-245</v>
      </c>
      <c r="K89" s="6">
        <v>-244.1</v>
      </c>
      <c r="L89" s="6">
        <v>-243.1</v>
      </c>
      <c r="M89" s="6">
        <v>-242.1</v>
      </c>
      <c r="N89" s="6">
        <v>-241.1</v>
      </c>
      <c r="O89" s="6">
        <v>-240.2</v>
      </c>
      <c r="P89" s="6">
        <v>-239.2</v>
      </c>
      <c r="Q89" s="6">
        <v>-238.3</v>
      </c>
      <c r="R89" s="6">
        <v>-237.3</v>
      </c>
      <c r="S89" s="6">
        <v>-236.4</v>
      </c>
      <c r="T89" s="6">
        <v>-235.4</v>
      </c>
      <c r="U89" s="6">
        <v>-234.5</v>
      </c>
      <c r="V89" s="6">
        <v>-233.5</v>
      </c>
      <c r="W89" s="6">
        <v>-232.6</v>
      </c>
      <c r="X89" s="6">
        <v>-231.7</v>
      </c>
      <c r="Y89" s="6">
        <v>-230.7</v>
      </c>
      <c r="Z89" s="6">
        <v>-229.8</v>
      </c>
      <c r="AA89" s="6">
        <v>-228.9</v>
      </c>
      <c r="AB89" s="6">
        <v>-228</v>
      </c>
      <c r="AC89" s="6">
        <v>-227.1</v>
      </c>
      <c r="AD89" s="6">
        <v>-226.2</v>
      </c>
      <c r="AE89" s="7"/>
      <c r="AF89" s="6">
        <v>-233.96226415094338</v>
      </c>
      <c r="AG89" s="6">
        <v>-230.8411214953271</v>
      </c>
      <c r="AH89" s="6">
        <v>-267.39130434782606</v>
      </c>
      <c r="AI89" s="6">
        <v>-269.2307692307692</v>
      </c>
      <c r="AJ89" s="6">
        <v>-221.90909090909088</v>
      </c>
      <c r="AK89" s="6">
        <v>-231.52380952380952</v>
      </c>
      <c r="AL89" s="6">
        <v>-257.5531914893617</v>
      </c>
      <c r="AM89" s="6">
        <v>-259.247311827957</v>
      </c>
      <c r="AN89" s="6">
        <v>-222.4074074074074</v>
      </c>
      <c r="AO89" s="6">
        <v>-219.44954128440364</v>
      </c>
      <c r="AP89" s="6">
        <v>-264.77777777777777</v>
      </c>
      <c r="AQ89" s="6">
        <v>-249.78947368421055</v>
      </c>
      <c r="AR89" s="6">
        <v>-223.0188679245283</v>
      </c>
      <c r="AS89" s="6">
        <v>-220</v>
      </c>
      <c r="AT89" s="6">
        <v>-254.89130434782606</v>
      </c>
      <c r="AU89" s="6">
        <v>-256.5934065934066</v>
      </c>
      <c r="AV89" s="6">
        <v>-211.45454545454544</v>
      </c>
      <c r="AW89" s="6">
        <v>-220.66666666666666</v>
      </c>
      <c r="AX89" s="6">
        <v>-245.4255319148936</v>
      </c>
      <c r="AY89" s="6">
        <v>-247.0967741935484</v>
      </c>
      <c r="AZ89" s="6">
        <v>-211.94444444444443</v>
      </c>
      <c r="BA89" s="6">
        <v>-209.1743119266055</v>
      </c>
      <c r="BB89" s="6">
        <v>-252.33333333333331</v>
      </c>
      <c r="BC89" s="6">
        <v>-238.10526315789474</v>
      </c>
    </row>
    <row r="90" ht="15.997499999999997" customHeight="1">
      <c r="A90" s="5" t="s">
        <v>35</v>
      </c>
      <c r="B90" s="5" t="s">
        <v>140</v>
      </c>
      <c r="C90" s="5" t="s">
        <v>141</v>
      </c>
      <c r="D90" s="5">
        <v>7510</v>
      </c>
      <c r="E90" s="5" t="s">
        <v>143</v>
      </c>
      <c r="F90" s="5" t="s">
        <v>39</v>
      </c>
      <c r="G90" s="6">
        <v>-64</v>
      </c>
      <c r="H90" s="6">
        <v>-64.8</v>
      </c>
      <c r="I90" s="6">
        <v>-65.5</v>
      </c>
      <c r="J90" s="6">
        <v>-66.3</v>
      </c>
      <c r="K90" s="6">
        <v>-67.1</v>
      </c>
      <c r="L90" s="6">
        <v>-67.9</v>
      </c>
      <c r="M90" s="6">
        <v>-68.7</v>
      </c>
      <c r="N90" s="6">
        <v>-69.6</v>
      </c>
      <c r="O90" s="6">
        <v>-70.4</v>
      </c>
      <c r="P90" s="6">
        <v>-71.3</v>
      </c>
      <c r="Q90" s="6">
        <v>-72.1</v>
      </c>
      <c r="R90" s="6">
        <v>-73</v>
      </c>
      <c r="S90" s="6">
        <v>-73.8</v>
      </c>
      <c r="T90" s="6">
        <v>-74.7</v>
      </c>
      <c r="U90" s="6">
        <v>-75.6</v>
      </c>
      <c r="V90" s="6">
        <v>-76.5</v>
      </c>
      <c r="W90" s="6">
        <v>-77.5</v>
      </c>
      <c r="X90" s="6">
        <v>-78.4</v>
      </c>
      <c r="Y90" s="6">
        <v>-79.3</v>
      </c>
      <c r="Z90" s="6">
        <v>-80.3</v>
      </c>
      <c r="AA90" s="6">
        <v>-81.2</v>
      </c>
      <c r="AB90" s="6">
        <v>-82.2</v>
      </c>
      <c r="AC90" s="6">
        <v>-83.2</v>
      </c>
      <c r="AD90" s="6">
        <v>-84.2</v>
      </c>
      <c r="AE90" s="7"/>
      <c r="AF90" s="6">
        <v>-59.81308411214953</v>
      </c>
      <c r="AG90" s="6">
        <v>-59.99999999999999</v>
      </c>
      <c r="AH90" s="6">
        <v>-71.97802197802197</v>
      </c>
      <c r="AI90" s="6">
        <v>-73.66666666666666</v>
      </c>
      <c r="AJ90" s="6">
        <v>-63.9047619047619</v>
      </c>
      <c r="AK90" s="6">
        <v>-64.05660377358491</v>
      </c>
      <c r="AL90" s="6">
        <v>-73.87096774193549</v>
      </c>
      <c r="AM90" s="6">
        <v>-75.65217391304347</v>
      </c>
      <c r="AN90" s="6">
        <v>-64.58715596330275</v>
      </c>
      <c r="AO90" s="6">
        <v>-64.81818181818181</v>
      </c>
      <c r="AP90" s="6">
        <v>-75.89473684210526</v>
      </c>
      <c r="AQ90" s="6">
        <v>-77.65957446808511</v>
      </c>
      <c r="AR90" s="6">
        <v>-68.97196261682242</v>
      </c>
      <c r="AS90" s="6">
        <v>-69.16666666666667</v>
      </c>
      <c r="AT90" s="6">
        <v>-83.07692307692307</v>
      </c>
      <c r="AU90" s="6">
        <v>-85</v>
      </c>
      <c r="AV90" s="6">
        <v>-73.80952380952381</v>
      </c>
      <c r="AW90" s="6">
        <v>-73.9622641509434</v>
      </c>
      <c r="AX90" s="6">
        <v>-85.26881720430107</v>
      </c>
      <c r="AY90" s="6">
        <v>-87.28260869565217</v>
      </c>
      <c r="AZ90" s="6">
        <v>-74.4954128440367</v>
      </c>
      <c r="BA90" s="6">
        <v>-74.72727272727272</v>
      </c>
      <c r="BB90" s="6">
        <v>-87.57894736842105</v>
      </c>
      <c r="BC90" s="6">
        <v>-89.57446808510639</v>
      </c>
    </row>
    <row r="91" ht="15.997499999999997" customHeight="1">
      <c r="A91" s="5" t="s">
        <v>35</v>
      </c>
      <c r="B91" s="5" t="s">
        <v>140</v>
      </c>
      <c r="C91" s="5" t="s">
        <v>141</v>
      </c>
      <c r="D91" s="5">
        <v>8000</v>
      </c>
      <c r="E91" s="5" t="s">
        <v>144</v>
      </c>
      <c r="F91" s="5" t="s">
        <v>39</v>
      </c>
      <c r="G91" s="6">
        <v>-22</v>
      </c>
      <c r="H91" s="6">
        <v>-22.3</v>
      </c>
      <c r="I91" s="6">
        <v>-22.5</v>
      </c>
      <c r="J91" s="6">
        <v>-22.8</v>
      </c>
      <c r="K91" s="6">
        <v>-23.1</v>
      </c>
      <c r="L91" s="6">
        <v>-23.4</v>
      </c>
      <c r="M91" s="6">
        <v>-23.6</v>
      </c>
      <c r="N91" s="6">
        <v>-23.9</v>
      </c>
      <c r="O91" s="6">
        <v>-24.2</v>
      </c>
      <c r="P91" s="6">
        <v>-24.5</v>
      </c>
      <c r="Q91" s="6">
        <v>-24.8</v>
      </c>
      <c r="R91" s="6">
        <v>-25.1</v>
      </c>
      <c r="S91" s="6">
        <v>-25.4</v>
      </c>
      <c r="T91" s="6">
        <v>-25.7</v>
      </c>
      <c r="U91" s="6">
        <v>-26</v>
      </c>
      <c r="V91" s="6">
        <v>-26.3</v>
      </c>
      <c r="W91" s="6">
        <v>-26.6</v>
      </c>
      <c r="X91" s="6">
        <v>-26.9</v>
      </c>
      <c r="Y91" s="6">
        <v>-27.3</v>
      </c>
      <c r="Z91" s="6">
        <v>-27.6</v>
      </c>
      <c r="AA91" s="6">
        <v>-27.9</v>
      </c>
      <c r="AB91" s="6">
        <v>-28.3</v>
      </c>
      <c r="AC91" s="6">
        <v>-28.6</v>
      </c>
      <c r="AD91" s="6">
        <v>-28.9</v>
      </c>
      <c r="AE91" s="7"/>
      <c r="AF91" s="6">
        <v>-20.37037037037037</v>
      </c>
      <c r="AG91" s="6">
        <v>-20.458715596330276</v>
      </c>
      <c r="AH91" s="6">
        <v>-25</v>
      </c>
      <c r="AI91" s="6">
        <v>-24.000000000000004</v>
      </c>
      <c r="AJ91" s="6">
        <v>-21.79245283018868</v>
      </c>
      <c r="AK91" s="6">
        <v>-21.86915887850467</v>
      </c>
      <c r="AL91" s="6">
        <v>-25.65217391304348</v>
      </c>
      <c r="AM91" s="6">
        <v>-26.263736263736263</v>
      </c>
      <c r="AN91" s="6">
        <v>-21.999999999999996</v>
      </c>
      <c r="AO91" s="6">
        <v>-23.333333333333332</v>
      </c>
      <c r="AP91" s="6">
        <v>-26.382978723404257</v>
      </c>
      <c r="AQ91" s="6">
        <v>-26.98924731182796</v>
      </c>
      <c r="AR91" s="6">
        <v>-23.518518518518515</v>
      </c>
      <c r="AS91" s="6">
        <v>-23.577981651376145</v>
      </c>
      <c r="AT91" s="6">
        <v>-28.88888888888889</v>
      </c>
      <c r="AU91" s="6">
        <v>-27.68421052631579</v>
      </c>
      <c r="AV91" s="6">
        <v>-25.09433962264151</v>
      </c>
      <c r="AW91" s="6">
        <v>-25.14018691588785</v>
      </c>
      <c r="AX91" s="6">
        <v>-29.67391304347826</v>
      </c>
      <c r="AY91" s="6">
        <v>-30.32967032967033</v>
      </c>
      <c r="AZ91" s="6">
        <v>-25.36363636363636</v>
      </c>
      <c r="BA91" s="6">
        <v>-26.952380952380953</v>
      </c>
      <c r="BB91" s="6">
        <v>-30.42553191489362</v>
      </c>
      <c r="BC91" s="6">
        <v>-31.0752688172043</v>
      </c>
    </row>
    <row r="92" ht="15.997499999999997" customHeight="1">
      <c r="A92" s="5" t="s">
        <v>35</v>
      </c>
      <c r="B92" s="5" t="s">
        <v>140</v>
      </c>
      <c r="C92" s="5" t="s">
        <v>141</v>
      </c>
      <c r="D92" s="5">
        <v>8010</v>
      </c>
      <c r="E92" s="5" t="s">
        <v>145</v>
      </c>
      <c r="F92" s="5" t="s">
        <v>39</v>
      </c>
      <c r="G92" s="6">
        <v>8</v>
      </c>
      <c r="H92" s="6">
        <v>8.1</v>
      </c>
      <c r="I92" s="6">
        <v>8.2</v>
      </c>
      <c r="J92" s="6">
        <v>8.3</v>
      </c>
      <c r="K92" s="6">
        <v>8.4</v>
      </c>
      <c r="L92" s="6">
        <v>8.5</v>
      </c>
      <c r="M92" s="6">
        <v>8.6</v>
      </c>
      <c r="N92" s="6">
        <v>8.7</v>
      </c>
      <c r="O92" s="6">
        <v>8.8</v>
      </c>
      <c r="P92" s="6">
        <v>8.9</v>
      </c>
      <c r="Q92" s="6">
        <v>9</v>
      </c>
      <c r="R92" s="6">
        <v>9.1</v>
      </c>
      <c r="S92" s="6">
        <v>9.2</v>
      </c>
      <c r="T92" s="6">
        <v>9.3</v>
      </c>
      <c r="U92" s="6">
        <v>9.5</v>
      </c>
      <c r="V92" s="6">
        <v>9.6</v>
      </c>
      <c r="W92" s="6">
        <v>9.7</v>
      </c>
      <c r="X92" s="6">
        <v>9.8</v>
      </c>
      <c r="Y92" s="6">
        <v>9.9</v>
      </c>
      <c r="Z92" s="6">
        <v>10</v>
      </c>
      <c r="AA92" s="6">
        <v>10.2</v>
      </c>
      <c r="AB92" s="6">
        <v>10.3</v>
      </c>
      <c r="AC92" s="6">
        <v>10.4</v>
      </c>
      <c r="AD92" s="6">
        <v>10.5</v>
      </c>
      <c r="AE92" s="7"/>
      <c r="AF92" s="6">
        <v>7.339449541284403</v>
      </c>
      <c r="AG92" s="6">
        <v>7.363636363636362</v>
      </c>
      <c r="AH92" s="6">
        <v>8.631578947368421</v>
      </c>
      <c r="AI92" s="6">
        <v>8.829787234042554</v>
      </c>
      <c r="AJ92" s="6">
        <v>7.850467289719626</v>
      </c>
      <c r="AK92" s="6">
        <v>7.87037037037037</v>
      </c>
      <c r="AL92" s="6">
        <v>9.450549450549449</v>
      </c>
      <c r="AM92" s="6">
        <v>9.666666666666666</v>
      </c>
      <c r="AN92" s="6">
        <v>8.380952380952381</v>
      </c>
      <c r="AO92" s="6">
        <v>8.39622641509434</v>
      </c>
      <c r="AP92" s="6">
        <v>9.67741935483871</v>
      </c>
      <c r="AQ92" s="6">
        <v>9.891304347826086</v>
      </c>
      <c r="AR92" s="6">
        <v>8.440366972477063</v>
      </c>
      <c r="AS92" s="6">
        <v>8.454545454545455</v>
      </c>
      <c r="AT92" s="6">
        <v>10</v>
      </c>
      <c r="AU92" s="6">
        <v>10.212765957446809</v>
      </c>
      <c r="AV92" s="6">
        <v>9.065420560747663</v>
      </c>
      <c r="AW92" s="6">
        <v>9.074074074074074</v>
      </c>
      <c r="AX92" s="6">
        <v>10.87912087912088</v>
      </c>
      <c r="AY92" s="6">
        <v>11.11111111111111</v>
      </c>
      <c r="AZ92" s="6">
        <v>9.714285714285714</v>
      </c>
      <c r="BA92" s="6">
        <v>9.716981132075471</v>
      </c>
      <c r="BB92" s="6">
        <v>11.182795698924732</v>
      </c>
      <c r="BC92" s="6">
        <v>11.41304347826087</v>
      </c>
    </row>
    <row r="93" ht="15.997499999999997" customHeight="1">
      <c r="A93" s="8" t="s">
        <v>35</v>
      </c>
      <c r="B93" s="8" t="s">
        <v>140</v>
      </c>
      <c r="C93" s="8" t="s">
        <v>42</v>
      </c>
      <c r="D93" s="8" t="s">
        <v>43</v>
      </c>
      <c r="E93" s="8" t="s">
        <v>146</v>
      </c>
      <c r="F93" s="8" t="s">
        <v>39</v>
      </c>
      <c r="G93" s="9">
        <f t="shared" si="3"/>
        <v>-326</v>
      </c>
      <c r="H93" s="9">
        <f t="shared" si="3"/>
        <v>-326</v>
      </c>
      <c r="I93" s="9">
        <f t="shared" si="3"/>
        <v>-325.8</v>
      </c>
      <c r="J93" s="9">
        <f t="shared" si="3"/>
        <v>-325.8</v>
      </c>
      <c r="K93" s="9">
        <f t="shared" si="3"/>
        <v>-325.9</v>
      </c>
      <c r="L93" s="9">
        <f t="shared" si="3"/>
        <v>-325.9</v>
      </c>
      <c r="M93" s="9">
        <f t="shared" si="3"/>
        <v>-325.8</v>
      </c>
      <c r="N93" s="9">
        <f t="shared" si="3"/>
        <v>-325.9</v>
      </c>
      <c r="O93" s="9">
        <f t="shared" si="3"/>
        <v>-326</v>
      </c>
      <c r="P93" s="9">
        <f t="shared" si="3"/>
        <v>-326.1</v>
      </c>
      <c r="Q93" s="9">
        <f t="shared" si="3"/>
        <v>-326.2</v>
      </c>
      <c r="R93" s="9">
        <f t="shared" si="3"/>
        <v>-326.3</v>
      </c>
      <c r="S93" s="9">
        <f t="shared" si="3"/>
        <v>-326.4</v>
      </c>
      <c r="T93" s="9">
        <f t="shared" si="3"/>
        <v>-326.5</v>
      </c>
      <c r="U93" s="9">
        <f t="shared" si="3"/>
        <v>-326.6</v>
      </c>
      <c r="V93" s="9">
        <f t="shared" si="3"/>
        <v>-326.7</v>
      </c>
      <c r="W93" s="9">
        <f t="shared" si="3"/>
        <v>-327</v>
      </c>
      <c r="X93" s="9">
        <f t="shared" si="3"/>
        <v>-327.2</v>
      </c>
      <c r="Y93" s="9">
        <f t="shared" si="3"/>
        <v>-327.4</v>
      </c>
      <c r="Z93" s="9">
        <f t="shared" si="3"/>
        <v>-327.7</v>
      </c>
      <c r="AA93" s="9">
        <f t="shared" si="3"/>
        <v>-327.8</v>
      </c>
      <c r="AB93" s="9">
        <f t="shared" si="3"/>
        <v>-328.2</v>
      </c>
      <c r="AC93" s="9">
        <f t="shared" si="3"/>
        <v>-328.5</v>
      </c>
      <c r="AD93" s="9">
        <f t="shared" si="3"/>
        <v>-328.8</v>
      </c>
      <c r="AE93" s="10"/>
      <c r="AF93" s="9">
        <f t="shared" si="3"/>
        <v>-306.806269092179</v>
      </c>
      <c r="AG93" s="9">
        <f t="shared" si="3"/>
        <v>-303.936200728021</v>
      </c>
      <c r="AH93" s="9">
        <f t="shared" si="3"/>
        <v>-355.73774737848</v>
      </c>
      <c r="AI93" s="9">
        <f t="shared" si="3"/>
        <v>-358.067648663393</v>
      </c>
      <c r="AJ93" s="9">
        <f t="shared" si="3"/>
        <v>-299.755838354322</v>
      </c>
      <c r="AK93" s="9">
        <f t="shared" si="3"/>
        <v>-309.579201805529</v>
      </c>
      <c r="AL93" s="9">
        <f t="shared" si="3"/>
        <v>-347.625783693791</v>
      </c>
      <c r="AM93" s="9">
        <f t="shared" si="3"/>
        <v>-351.49655533807</v>
      </c>
      <c r="AN93" s="9">
        <f t="shared" si="3"/>
        <v>-300.613610989758</v>
      </c>
      <c r="AO93" s="9">
        <f t="shared" si="3"/>
        <v>-299.204830020824</v>
      </c>
      <c r="AP93" s="9">
        <f t="shared" si="3"/>
        <v>-357.378073988449</v>
      </c>
      <c r="AQ93" s="9">
        <f t="shared" si="3"/>
        <v>-344.546991116298</v>
      </c>
      <c r="AR93" s="9">
        <f t="shared" si="3"/>
        <v>-307.068982087392</v>
      </c>
      <c r="AS93" s="9">
        <f t="shared" si="3"/>
        <v>-304.290102863497</v>
      </c>
      <c r="AT93" s="9">
        <f t="shared" si="3"/>
        <v>-356.857116313638</v>
      </c>
      <c r="AU93" s="9">
        <f t="shared" si="3"/>
        <v>-359.064851162276</v>
      </c>
      <c r="AV93" s="9">
        <f t="shared" si="3"/>
        <v>-301.292988325963</v>
      </c>
      <c r="AW93" s="9">
        <f t="shared" si="3"/>
        <v>-310.695043659424</v>
      </c>
      <c r="AX93" s="9">
        <f t="shared" si="3"/>
        <v>-349.489141283552</v>
      </c>
      <c r="AY93" s="9">
        <f t="shared" si="3"/>
        <v>-353.59794210776</v>
      </c>
      <c r="AZ93" s="9">
        <f t="shared" si="3"/>
        <v>-302.089207937832</v>
      </c>
      <c r="BA93" s="9">
        <f t="shared" si="3"/>
        <v>-301.136984474184</v>
      </c>
      <c r="BB93" s="9">
        <f t="shared" si="3"/>
        <v>-359.155016917723</v>
      </c>
      <c r="BC93" s="9">
        <f t="shared" si="3"/>
        <v>-347.341956581945</v>
      </c>
    </row>
    <row r="94" ht="15.997499999999997" customHeight="1">
      <c r="A94" s="5" t="s">
        <v>45</v>
      </c>
      <c r="B94" s="5" t="s">
        <v>45</v>
      </c>
      <c r="C94" s="5" t="s">
        <v>45</v>
      </c>
      <c r="D94" s="5" t="s">
        <v>45</v>
      </c>
      <c r="E94" s="5" t="s">
        <v>45</v>
      </c>
      <c r="F94" s="5" t="s">
        <v>45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7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</row>
    <row r="95" ht="15.997499999999997" customHeight="1">
      <c r="A95" s="12" t="s">
        <v>35</v>
      </c>
      <c r="B95" s="12" t="s">
        <v>147</v>
      </c>
      <c r="C95" s="12" t="s">
        <v>148</v>
      </c>
      <c r="D95" s="12" t="s">
        <v>149</v>
      </c>
      <c r="E95" s="12" t="s">
        <v>150</v>
      </c>
      <c r="F95" s="12" t="s">
        <v>39</v>
      </c>
      <c r="G95" s="13">
        <f t="shared" si="5" ref="G95:BC95">G7+G12+G16+G23+G28+G35+G40+G45+G50+G55+G61+G67+G72+G81+G87+G93</f>
        <v>-1178</v>
      </c>
      <c r="H95" s="13">
        <f t="shared" si="5"/>
        <v>-1112</v>
      </c>
      <c r="I95" s="13">
        <f t="shared" si="5"/>
        <v>-990.9</v>
      </c>
      <c r="J95" s="13">
        <f t="shared" si="5"/>
        <v>-1022.4</v>
      </c>
      <c r="K95" s="13">
        <f t="shared" si="5"/>
        <v>-894</v>
      </c>
      <c r="L95" s="13">
        <f t="shared" si="5"/>
        <v>-814.699999999999</v>
      </c>
      <c r="M95" s="13">
        <f t="shared" si="5"/>
        <v>-1012</v>
      </c>
      <c r="N95" s="13">
        <f t="shared" si="5"/>
        <v>-1104.6</v>
      </c>
      <c r="O95" s="13">
        <f t="shared" si="5"/>
        <v>-848.7</v>
      </c>
      <c r="P95" s="13">
        <f t="shared" si="5"/>
        <v>-761.4</v>
      </c>
      <c r="Q95" s="13">
        <f t="shared" si="5"/>
        <v>-547</v>
      </c>
      <c r="R95" s="13">
        <f t="shared" si="5"/>
        <v>-198.199999999999</v>
      </c>
      <c r="S95" s="13">
        <f t="shared" si="5"/>
        <v>-924.6</v>
      </c>
      <c r="T95" s="13">
        <f t="shared" si="5"/>
        <v>-830.7</v>
      </c>
      <c r="U95" s="13">
        <f t="shared" si="5"/>
        <v>-665.999999999999</v>
      </c>
      <c r="V95" s="13">
        <f t="shared" si="5"/>
        <v>-699.399999999999</v>
      </c>
      <c r="W95" s="13">
        <f t="shared" si="5"/>
        <v>-524.9</v>
      </c>
      <c r="X95" s="13">
        <f t="shared" si="5"/>
        <v>-413.399999999999</v>
      </c>
      <c r="Y95" s="13">
        <f t="shared" si="5"/>
        <v>-664.7</v>
      </c>
      <c r="Z95" s="13">
        <f t="shared" si="5"/>
        <v>-778</v>
      </c>
      <c r="AA95" s="13">
        <f t="shared" si="5"/>
        <v>-435.200000000001</v>
      </c>
      <c r="AB95" s="13">
        <f t="shared" si="5"/>
        <v>-313.399999999999</v>
      </c>
      <c r="AC95" s="13">
        <f t="shared" si="5"/>
        <v>-25.2999999999993</v>
      </c>
      <c r="AD95" s="13">
        <f t="shared" si="5"/>
        <v>439.1</v>
      </c>
      <c r="AE95" s="14"/>
      <c r="AF95" s="13">
        <f t="shared" si="5"/>
        <v>-1044.09676766975</v>
      </c>
      <c r="AG95" s="13">
        <f t="shared" si="5"/>
        <v>-999.374891891926</v>
      </c>
      <c r="AH95" s="13">
        <f t="shared" si="5"/>
        <v>-1090.26346981137</v>
      </c>
      <c r="AI95" s="13">
        <f t="shared" si="5"/>
        <v>-1103.95109465335</v>
      </c>
      <c r="AJ95" s="13">
        <f t="shared" si="5"/>
        <v>-880.19762098003</v>
      </c>
      <c r="AK95" s="13">
        <f t="shared" si="5"/>
        <v>-820.181070305555</v>
      </c>
      <c r="AL95" s="13">
        <f t="shared" si="5"/>
        <v>-1172.79885929799</v>
      </c>
      <c r="AM95" s="13">
        <f t="shared" si="5"/>
        <v>-1249.03649116241</v>
      </c>
      <c r="AN95" s="13">
        <f t="shared" si="5"/>
        <v>-774.5917009836</v>
      </c>
      <c r="AO95" s="13">
        <f t="shared" si="5"/>
        <v>-712.133400331585</v>
      </c>
      <c r="AP95" s="13">
        <f t="shared" si="5"/>
        <v>-513.96719274008</v>
      </c>
      <c r="AQ95" s="13">
        <f t="shared" si="5"/>
        <v>-108.985567330989</v>
      </c>
      <c r="AR95" s="13">
        <f t="shared" si="5"/>
        <v>-792.566704818696</v>
      </c>
      <c r="AS95" s="13">
        <f t="shared" si="5"/>
        <v>-725.085171630405</v>
      </c>
      <c r="AT95" s="13">
        <f t="shared" si="5"/>
        <v>-746.767316775711</v>
      </c>
      <c r="AU95" s="13">
        <f t="shared" si="5"/>
        <v>-753.377725494085</v>
      </c>
      <c r="AV95" s="13">
        <f t="shared" si="5"/>
        <v>-554.618152228676</v>
      </c>
      <c r="AW95" s="13">
        <f t="shared" si="5"/>
        <v>-465.390883551635</v>
      </c>
      <c r="AX95" s="13">
        <f t="shared" si="5"/>
        <v>-820.687540965747</v>
      </c>
      <c r="AY95" s="13">
        <f t="shared" si="5"/>
        <v>-915.008961935027</v>
      </c>
      <c r="AZ95" s="13">
        <f t="shared" si="5"/>
        <v>-383.463958314737</v>
      </c>
      <c r="BA95" s="13">
        <f t="shared" si="5"/>
        <v>-296.97313636097</v>
      </c>
      <c r="BB95" s="13">
        <f t="shared" si="5"/>
        <v>78.2593093751436</v>
      </c>
      <c r="BC95" s="13">
        <f t="shared" si="5"/>
        <v>612.302017686449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B7967F8-4898-F9B4-1058-BECE76998659}" mc:Ignorable="x14ac xr xr2 xr3">
  <dimension ref="A1:CV10000"/>
  <sheetViews>
    <sheetView showGridLines="0" workbookViewId="0">
      <pane xSplit="6" ySplit="3" topLeftCell="G4" activePane="bottomRight" state="frozen"/>
      <selection pane="bottomLeft" activeCell="A4" sqref="A4"/>
      <selection pane="topRight" activeCell="G1" sqref="G1"/>
      <selection pane="bottomRight" activeCell="A1" sqref="A1"/>
    </sheetView>
  </sheetViews>
  <sheetFormatPr defaultRowHeight="15" defaultColWidth="7.75390625" customHeight="1"/>
  <cols>
    <col min="1" max="1" width="16.25390625" customWidth="1"/>
    <col min="2" max="2" width="18.75390625" customWidth="1"/>
    <col min="3" max="3" width="10.625" customWidth="1"/>
    <col min="4" max="4" width="9.375" customWidth="1"/>
    <col min="5" max="5" width="28.75390625" customWidth="1"/>
    <col min="6" max="6" width="8.125" customWidth="1"/>
    <col min="7" max="30" width="9.00390625" customWidth="1"/>
    <col min="31" max="31" width="2.25390625" customWidth="1"/>
    <col min="32" max="55" width="9.00390625" customWidth="1"/>
  </cols>
  <sheetData>
    <row r="1" ht="15" customHeight="1">
      <c r="A1" s="15" t="s">
        <v>151</v>
      </c>
      <c r="B1" s="15" t="s">
        <v>152</v>
      </c>
      <c r="C1" s="15"/>
      <c r="D1" s="15"/>
      <c r="E1" s="15" t="s">
        <v>153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ht="15" customHeight="1">
      <c r="A2" s="17"/>
      <c r="B2" s="17"/>
      <c r="C2" s="17"/>
      <c r="D2" s="17"/>
      <c r="E2" s="17"/>
      <c r="F2" s="17"/>
      <c r="G2" s="17" t="s">
        <v>154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/>
      <c r="AF2" s="17" t="s">
        <v>155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ht="22.5" customHeight="1">
      <c r="A3" s="17" t="s">
        <v>5</v>
      </c>
      <c r="B3" s="17" t="s">
        <v>6</v>
      </c>
      <c r="C3" s="17" t="s">
        <v>7</v>
      </c>
      <c r="D3" s="17" t="s">
        <v>8</v>
      </c>
      <c r="E3" s="17" t="s">
        <v>9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7" t="s">
        <v>26</v>
      </c>
      <c r="W3" s="17" t="s">
        <v>27</v>
      </c>
      <c r="X3" s="17" t="s">
        <v>28</v>
      </c>
      <c r="Y3" s="17" t="s">
        <v>29</v>
      </c>
      <c r="Z3" s="17" t="s">
        <v>30</v>
      </c>
      <c r="AA3" s="17" t="s">
        <v>31</v>
      </c>
      <c r="AB3" s="17" t="s">
        <v>32</v>
      </c>
      <c r="AC3" s="17" t="s">
        <v>33</v>
      </c>
      <c r="AD3" s="17" t="s">
        <v>34</v>
      </c>
      <c r="AE3" s="18"/>
      <c r="AF3" s="17" t="s">
        <v>11</v>
      </c>
      <c r="AG3" s="17" t="s">
        <v>12</v>
      </c>
      <c r="AH3" s="17" t="s">
        <v>13</v>
      </c>
      <c r="AI3" s="17" t="s">
        <v>14</v>
      </c>
      <c r="AJ3" s="17" t="s">
        <v>15</v>
      </c>
      <c r="AK3" s="17" t="s">
        <v>16</v>
      </c>
      <c r="AL3" s="17" t="s">
        <v>17</v>
      </c>
      <c r="AM3" s="17" t="s">
        <v>18</v>
      </c>
      <c r="AN3" s="17" t="s">
        <v>19</v>
      </c>
      <c r="AO3" s="17" t="s">
        <v>20</v>
      </c>
      <c r="AP3" s="17" t="s">
        <v>21</v>
      </c>
      <c r="AQ3" s="17" t="s">
        <v>22</v>
      </c>
      <c r="AR3" s="17" t="s">
        <v>23</v>
      </c>
      <c r="AS3" s="17" t="s">
        <v>24</v>
      </c>
      <c r="AT3" s="17" t="s">
        <v>25</v>
      </c>
      <c r="AU3" s="17" t="s">
        <v>26</v>
      </c>
      <c r="AV3" s="17" t="s">
        <v>27</v>
      </c>
      <c r="AW3" s="17" t="s">
        <v>28</v>
      </c>
      <c r="AX3" s="17" t="s">
        <v>29</v>
      </c>
      <c r="AY3" s="17" t="s">
        <v>30</v>
      </c>
      <c r="AZ3" s="17" t="s">
        <v>31</v>
      </c>
      <c r="BA3" s="17" t="s">
        <v>32</v>
      </c>
      <c r="BB3" s="17" t="s">
        <v>33</v>
      </c>
      <c r="BC3" s="17" t="s">
        <v>34</v>
      </c>
    </row>
    <row r="4" ht="15" customHeight="1">
      <c r="A4" s="19" t="s">
        <v>35</v>
      </c>
      <c r="B4" s="19" t="s">
        <v>156</v>
      </c>
      <c r="C4" s="19" t="s">
        <v>141</v>
      </c>
      <c r="D4" s="19">
        <v>1000</v>
      </c>
      <c r="E4" s="19" t="s">
        <v>157</v>
      </c>
      <c r="F4" s="19" t="s">
        <v>39</v>
      </c>
      <c r="G4" s="20">
        <v>12400</v>
      </c>
      <c r="H4" s="20">
        <v>12833.7</v>
      </c>
      <c r="I4" s="20">
        <v>13202.8</v>
      </c>
      <c r="J4" s="20">
        <v>13458.6</v>
      </c>
      <c r="K4" s="20">
        <v>13580.1</v>
      </c>
      <c r="L4" s="20">
        <v>13579.2</v>
      </c>
      <c r="M4" s="20">
        <v>13497.6</v>
      </c>
      <c r="N4" s="20">
        <v>13397.1</v>
      </c>
      <c r="O4" s="20">
        <v>13343.8</v>
      </c>
      <c r="P4" s="20">
        <v>13392.4</v>
      </c>
      <c r="Q4" s="20">
        <v>13572.6</v>
      </c>
      <c r="R4" s="20">
        <v>13882</v>
      </c>
      <c r="S4" s="20">
        <v>14286.3</v>
      </c>
      <c r="T4" s="20">
        <v>14728.3</v>
      </c>
      <c r="U4" s="20">
        <v>15141.3</v>
      </c>
      <c r="V4" s="20">
        <v>15465.9</v>
      </c>
      <c r="W4" s="20">
        <v>15664.1</v>
      </c>
      <c r="X4" s="20">
        <v>15729.2</v>
      </c>
      <c r="Y4" s="20">
        <v>15686.7</v>
      </c>
      <c r="Z4" s="20">
        <v>15588.7</v>
      </c>
      <c r="AA4" s="20">
        <v>15500.8</v>
      </c>
      <c r="AB4" s="20">
        <v>15486.2</v>
      </c>
      <c r="AC4" s="20">
        <v>15590</v>
      </c>
      <c r="AD4" s="20">
        <v>15828.5</v>
      </c>
      <c r="AE4" s="21"/>
      <c r="AF4" s="20">
        <v>11780</v>
      </c>
      <c r="AG4" s="20">
        <v>13603.7</v>
      </c>
      <c r="AH4" s="20">
        <v>12278.6</v>
      </c>
      <c r="AI4" s="20">
        <v>14535.3</v>
      </c>
      <c r="AJ4" s="20">
        <v>12357.9</v>
      </c>
      <c r="AK4" s="20">
        <v>14937.1</v>
      </c>
      <c r="AL4" s="20">
        <v>12822.7</v>
      </c>
      <c r="AM4" s="20">
        <v>14200.9</v>
      </c>
      <c r="AN4" s="20">
        <v>12409.7</v>
      </c>
      <c r="AO4" s="20">
        <v>14463.7</v>
      </c>
      <c r="AP4" s="20">
        <v>12351.1</v>
      </c>
      <c r="AQ4" s="20">
        <v>15270.1</v>
      </c>
      <c r="AR4" s="20">
        <v>13572</v>
      </c>
      <c r="AS4" s="20">
        <v>15612</v>
      </c>
      <c r="AT4" s="20">
        <v>14081.4</v>
      </c>
      <c r="AU4" s="20">
        <v>16703.2</v>
      </c>
      <c r="AV4" s="20">
        <v>14254.4</v>
      </c>
      <c r="AW4" s="20">
        <v>17302.1</v>
      </c>
      <c r="AX4" s="20">
        <v>14902.3</v>
      </c>
      <c r="AY4" s="20">
        <v>16524</v>
      </c>
      <c r="AZ4" s="20">
        <v>14415.7</v>
      </c>
      <c r="BA4" s="20">
        <v>16725.1</v>
      </c>
      <c r="BB4" s="20">
        <v>14186.9</v>
      </c>
      <c r="BC4" s="20">
        <v>17411.4</v>
      </c>
    </row>
    <row r="5" ht="15" customHeight="1">
      <c r="A5" s="19" t="s">
        <v>35</v>
      </c>
      <c r="B5" s="19" t="s">
        <v>156</v>
      </c>
      <c r="C5" s="19" t="s">
        <v>141</v>
      </c>
      <c r="D5" s="19">
        <v>1010</v>
      </c>
      <c r="E5" s="19" t="s">
        <v>158</v>
      </c>
      <c r="F5" s="19" t="s">
        <v>39</v>
      </c>
      <c r="G5" s="20">
        <v>920</v>
      </c>
      <c r="H5" s="20">
        <v>920</v>
      </c>
      <c r="I5" s="20">
        <v>920</v>
      </c>
      <c r="J5" s="20">
        <v>920</v>
      </c>
      <c r="K5" s="20">
        <v>920</v>
      </c>
      <c r="L5" s="20">
        <v>920</v>
      </c>
      <c r="M5" s="20">
        <v>920</v>
      </c>
      <c r="N5" s="20">
        <v>920</v>
      </c>
      <c r="O5" s="20">
        <v>920</v>
      </c>
      <c r="P5" s="20">
        <v>920</v>
      </c>
      <c r="Q5" s="20">
        <v>920</v>
      </c>
      <c r="R5" s="20">
        <v>920</v>
      </c>
      <c r="S5" s="20">
        <v>920</v>
      </c>
      <c r="T5" s="20">
        <v>920</v>
      </c>
      <c r="U5" s="20">
        <v>920</v>
      </c>
      <c r="V5" s="20">
        <v>920</v>
      </c>
      <c r="W5" s="20">
        <v>920</v>
      </c>
      <c r="X5" s="20">
        <v>920</v>
      </c>
      <c r="Y5" s="20">
        <v>920</v>
      </c>
      <c r="Z5" s="20">
        <v>920</v>
      </c>
      <c r="AA5" s="20">
        <v>920</v>
      </c>
      <c r="AB5" s="20">
        <v>920</v>
      </c>
      <c r="AC5" s="20">
        <v>920</v>
      </c>
      <c r="AD5" s="20">
        <v>920</v>
      </c>
      <c r="AE5" s="21"/>
      <c r="AF5" s="20">
        <v>864.8</v>
      </c>
      <c r="AG5" s="20">
        <v>984.4</v>
      </c>
      <c r="AH5" s="20">
        <v>846.4</v>
      </c>
      <c r="AI5" s="20">
        <v>1002.8</v>
      </c>
      <c r="AJ5" s="20">
        <v>828</v>
      </c>
      <c r="AK5" s="20">
        <v>966</v>
      </c>
      <c r="AL5" s="20">
        <v>864.8</v>
      </c>
      <c r="AM5" s="20">
        <v>984.4</v>
      </c>
      <c r="AN5" s="20">
        <v>846.4</v>
      </c>
      <c r="AO5" s="20">
        <v>1002.8</v>
      </c>
      <c r="AP5" s="20">
        <v>828</v>
      </c>
      <c r="AQ5" s="20">
        <v>966</v>
      </c>
      <c r="AR5" s="20">
        <v>864.8</v>
      </c>
      <c r="AS5" s="20">
        <v>984.4</v>
      </c>
      <c r="AT5" s="20">
        <v>846.4</v>
      </c>
      <c r="AU5" s="20">
        <v>1002.8</v>
      </c>
      <c r="AV5" s="20">
        <v>828</v>
      </c>
      <c r="AW5" s="20">
        <v>966</v>
      </c>
      <c r="AX5" s="20">
        <v>864.8</v>
      </c>
      <c r="AY5" s="20">
        <v>984.4</v>
      </c>
      <c r="AZ5" s="20">
        <v>846.4</v>
      </c>
      <c r="BA5" s="20">
        <v>1002.8</v>
      </c>
      <c r="BB5" s="20">
        <v>828</v>
      </c>
      <c r="BC5" s="20">
        <v>966</v>
      </c>
    </row>
    <row r="6" ht="15" customHeight="1">
      <c r="A6" s="19" t="s">
        <v>35</v>
      </c>
      <c r="B6" s="19" t="s">
        <v>156</v>
      </c>
      <c r="C6" s="19" t="s">
        <v>141</v>
      </c>
      <c r="D6" s="19">
        <v>1020</v>
      </c>
      <c r="E6" s="19" t="s">
        <v>159</v>
      </c>
      <c r="F6" s="19" t="s">
        <v>39</v>
      </c>
      <c r="G6" s="20">
        <v>180</v>
      </c>
      <c r="H6" s="20">
        <v>183.1</v>
      </c>
      <c r="I6" s="20">
        <v>186.2</v>
      </c>
      <c r="J6" s="20">
        <v>189.3</v>
      </c>
      <c r="K6" s="20">
        <v>192.6</v>
      </c>
      <c r="L6" s="20">
        <v>195.8</v>
      </c>
      <c r="M6" s="20">
        <v>199.2</v>
      </c>
      <c r="N6" s="20">
        <v>202.5</v>
      </c>
      <c r="O6" s="20">
        <v>206</v>
      </c>
      <c r="P6" s="20">
        <v>209.5</v>
      </c>
      <c r="Q6" s="20">
        <v>213.1</v>
      </c>
      <c r="R6" s="20">
        <v>216.7</v>
      </c>
      <c r="S6" s="20">
        <v>220.4</v>
      </c>
      <c r="T6" s="20">
        <v>224.1</v>
      </c>
      <c r="U6" s="20">
        <v>227.9</v>
      </c>
      <c r="V6" s="20">
        <v>231.8</v>
      </c>
      <c r="W6" s="20">
        <v>235.7</v>
      </c>
      <c r="X6" s="20">
        <v>239.7</v>
      </c>
      <c r="Y6" s="20">
        <v>243.8</v>
      </c>
      <c r="Z6" s="20">
        <v>248</v>
      </c>
      <c r="AA6" s="20">
        <v>252.2</v>
      </c>
      <c r="AB6" s="20">
        <v>256.5</v>
      </c>
      <c r="AC6" s="20">
        <v>260.8</v>
      </c>
      <c r="AD6" s="20">
        <v>265.2</v>
      </c>
      <c r="AE6" s="21"/>
      <c r="AF6" s="20">
        <v>167.4</v>
      </c>
      <c r="AG6" s="20">
        <v>197.7</v>
      </c>
      <c r="AH6" s="20">
        <v>169.4</v>
      </c>
      <c r="AI6" s="20">
        <v>208.3</v>
      </c>
      <c r="AJ6" s="20">
        <v>182.9</v>
      </c>
      <c r="AK6" s="20">
        <v>207.6</v>
      </c>
      <c r="AL6" s="20">
        <v>185.2</v>
      </c>
      <c r="AM6" s="20">
        <v>218.7</v>
      </c>
      <c r="AN6" s="20">
        <v>187.4</v>
      </c>
      <c r="AO6" s="20">
        <v>230.4</v>
      </c>
      <c r="AP6" s="20">
        <v>202.4</v>
      </c>
      <c r="AQ6" s="20">
        <v>229.7</v>
      </c>
      <c r="AR6" s="20">
        <v>204.9</v>
      </c>
      <c r="AS6" s="20">
        <v>242</v>
      </c>
      <c r="AT6" s="20">
        <v>207.4</v>
      </c>
      <c r="AU6" s="20">
        <v>255</v>
      </c>
      <c r="AV6" s="20">
        <v>223.9</v>
      </c>
      <c r="AW6" s="20">
        <v>254.1</v>
      </c>
      <c r="AX6" s="20">
        <v>226.7</v>
      </c>
      <c r="AY6" s="20">
        <v>267.8</v>
      </c>
      <c r="AZ6" s="20">
        <v>229.5</v>
      </c>
      <c r="BA6" s="20">
        <v>282.1</v>
      </c>
      <c r="BB6" s="20">
        <v>247.8</v>
      </c>
      <c r="BC6" s="20">
        <v>281.2</v>
      </c>
    </row>
    <row r="7" ht="15" customHeight="1">
      <c r="A7" s="22" t="s">
        <v>35</v>
      </c>
      <c r="B7" s="22" t="s">
        <v>156</v>
      </c>
      <c r="C7" s="22" t="s">
        <v>42</v>
      </c>
      <c r="D7" s="22" t="s">
        <v>43</v>
      </c>
      <c r="E7" s="22" t="s">
        <v>160</v>
      </c>
      <c r="F7" s="22" t="s">
        <v>39</v>
      </c>
      <c r="G7" s="23">
        <f t="shared" si="0" ref="G7:BC7">SUM(G4:G6)</f>
        <v>13500</v>
      </c>
      <c r="H7" s="23">
        <f t="shared" si="0"/>
        <v>13936.8</v>
      </c>
      <c r="I7" s="23">
        <f t="shared" si="0"/>
        <v>14309</v>
      </c>
      <c r="J7" s="23">
        <f t="shared" si="0"/>
        <v>14567.9</v>
      </c>
      <c r="K7" s="23">
        <f t="shared" si="0"/>
        <v>14692.7</v>
      </c>
      <c r="L7" s="23">
        <f t="shared" si="0"/>
        <v>14695</v>
      </c>
      <c r="M7" s="23">
        <f t="shared" si="0"/>
        <v>14616.8</v>
      </c>
      <c r="N7" s="23">
        <f t="shared" si="0"/>
        <v>14519.6</v>
      </c>
      <c r="O7" s="23">
        <f t="shared" si="0"/>
        <v>14469.8</v>
      </c>
      <c r="P7" s="23">
        <f t="shared" si="0"/>
        <v>14521.9</v>
      </c>
      <c r="Q7" s="23">
        <f t="shared" si="0"/>
        <v>14705.7</v>
      </c>
      <c r="R7" s="23">
        <f t="shared" si="0"/>
        <v>15018.7</v>
      </c>
      <c r="S7" s="23">
        <f t="shared" si="0"/>
        <v>15426.7</v>
      </c>
      <c r="T7" s="23">
        <f t="shared" si="0"/>
        <v>15872.4</v>
      </c>
      <c r="U7" s="23">
        <f t="shared" si="0"/>
        <v>16289.2</v>
      </c>
      <c r="V7" s="23">
        <f t="shared" si="0"/>
        <v>16617.7</v>
      </c>
      <c r="W7" s="23">
        <f t="shared" si="0"/>
        <v>16819.8</v>
      </c>
      <c r="X7" s="23">
        <f t="shared" si="0"/>
        <v>16888.9</v>
      </c>
      <c r="Y7" s="23">
        <f t="shared" si="0"/>
        <v>16850.5</v>
      </c>
      <c r="Z7" s="23">
        <f t="shared" si="0"/>
        <v>16756.7</v>
      </c>
      <c r="AA7" s="23">
        <f t="shared" si="0"/>
        <v>16673</v>
      </c>
      <c r="AB7" s="23">
        <f t="shared" si="0"/>
        <v>16662.7</v>
      </c>
      <c r="AC7" s="23">
        <f t="shared" si="0"/>
        <v>16770.8</v>
      </c>
      <c r="AD7" s="23">
        <f t="shared" si="0"/>
        <v>17013.7</v>
      </c>
      <c r="AE7" s="24"/>
      <c r="AF7" s="23">
        <f t="shared" si="0"/>
        <v>12812.2</v>
      </c>
      <c r="AG7" s="23">
        <f t="shared" si="0"/>
        <v>14785.8</v>
      </c>
      <c r="AH7" s="23">
        <f t="shared" si="0"/>
        <v>13294.4</v>
      </c>
      <c r="AI7" s="23">
        <f t="shared" si="0"/>
        <v>15746.4</v>
      </c>
      <c r="AJ7" s="23">
        <f t="shared" si="0"/>
        <v>13368.8</v>
      </c>
      <c r="AK7" s="23">
        <f t="shared" si="0"/>
        <v>16110.7</v>
      </c>
      <c r="AL7" s="23">
        <f t="shared" si="0"/>
        <v>13872.7</v>
      </c>
      <c r="AM7" s="23">
        <f t="shared" si="0"/>
        <v>15404</v>
      </c>
      <c r="AN7" s="23">
        <f t="shared" si="0"/>
        <v>13443.5</v>
      </c>
      <c r="AO7" s="23">
        <f t="shared" si="0"/>
        <v>15696.9</v>
      </c>
      <c r="AP7" s="23">
        <f t="shared" si="0"/>
        <v>13381.5</v>
      </c>
      <c r="AQ7" s="23">
        <f t="shared" si="0"/>
        <v>16465.8</v>
      </c>
      <c r="AR7" s="23">
        <f t="shared" si="0"/>
        <v>14641.7</v>
      </c>
      <c r="AS7" s="23">
        <f t="shared" si="0"/>
        <v>16838.4</v>
      </c>
      <c r="AT7" s="23">
        <f t="shared" si="0"/>
        <v>15135.2</v>
      </c>
      <c r="AU7" s="23">
        <f t="shared" si="0"/>
        <v>17961</v>
      </c>
      <c r="AV7" s="23">
        <f t="shared" si="0"/>
        <v>15306.3</v>
      </c>
      <c r="AW7" s="23">
        <f t="shared" si="0"/>
        <v>18522.2</v>
      </c>
      <c r="AX7" s="23">
        <f t="shared" si="0"/>
        <v>15993.8</v>
      </c>
      <c r="AY7" s="23">
        <f t="shared" si="0"/>
        <v>17776.2</v>
      </c>
      <c r="AZ7" s="23">
        <f t="shared" si="0"/>
        <v>15491.6</v>
      </c>
      <c r="BA7" s="23">
        <f t="shared" si="0"/>
        <v>18010</v>
      </c>
      <c r="BB7" s="23">
        <f t="shared" si="0"/>
        <v>15262.7</v>
      </c>
      <c r="BC7" s="23">
        <f t="shared" si="0"/>
        <v>18658.6</v>
      </c>
    </row>
    <row r="8" ht="15" customHeight="1">
      <c r="A8" s="19" t="s">
        <v>45</v>
      </c>
      <c r="B8" s="19" t="s">
        <v>45</v>
      </c>
      <c r="C8" s="19" t="s">
        <v>45</v>
      </c>
      <c r="D8" s="19" t="s">
        <v>45</v>
      </c>
      <c r="E8" s="19" t="s">
        <v>45</v>
      </c>
      <c r="F8" s="19" t="s">
        <v>45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1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</row>
    <row r="9" ht="15" customHeight="1">
      <c r="A9" s="19" t="s">
        <v>35</v>
      </c>
      <c r="B9" s="19" t="s">
        <v>161</v>
      </c>
      <c r="C9" s="19" t="s">
        <v>162</v>
      </c>
      <c r="D9" s="19">
        <v>1100</v>
      </c>
      <c r="E9" s="19" t="s">
        <v>163</v>
      </c>
      <c r="F9" s="19" t="s">
        <v>39</v>
      </c>
      <c r="G9" s="20">
        <v>6900</v>
      </c>
      <c r="H9" s="20">
        <v>7044.9</v>
      </c>
      <c r="I9" s="20">
        <v>7192.8</v>
      </c>
      <c r="J9" s="20">
        <v>7343.9</v>
      </c>
      <c r="K9" s="20">
        <v>7498.1</v>
      </c>
      <c r="L9" s="20">
        <v>7655.6</v>
      </c>
      <c r="M9" s="20">
        <v>7816.3</v>
      </c>
      <c r="N9" s="20">
        <v>7980.5</v>
      </c>
      <c r="O9" s="20">
        <v>8148.1</v>
      </c>
      <c r="P9" s="20">
        <v>8319.2</v>
      </c>
      <c r="Q9" s="20">
        <v>8493.9</v>
      </c>
      <c r="R9" s="20">
        <v>8672.3</v>
      </c>
      <c r="S9" s="20">
        <v>8854.4</v>
      </c>
      <c r="T9" s="20">
        <v>9040.3</v>
      </c>
      <c r="U9" s="20">
        <v>9230.2</v>
      </c>
      <c r="V9" s="20">
        <v>9424</v>
      </c>
      <c r="W9" s="20">
        <v>9621.9</v>
      </c>
      <c r="X9" s="20">
        <v>9824</v>
      </c>
      <c r="Y9" s="20">
        <v>10030.3</v>
      </c>
      <c r="Z9" s="20">
        <v>10240.9</v>
      </c>
      <c r="AA9" s="20">
        <v>10456</v>
      </c>
      <c r="AB9" s="20">
        <v>10675.5</v>
      </c>
      <c r="AC9" s="20">
        <v>10899.7</v>
      </c>
      <c r="AD9" s="20">
        <v>11128.6</v>
      </c>
      <c r="AE9" s="21"/>
      <c r="AF9" s="20">
        <v>6210</v>
      </c>
      <c r="AG9" s="20">
        <v>7397.1</v>
      </c>
      <c r="AH9" s="20">
        <v>6761.3</v>
      </c>
      <c r="AI9" s="20">
        <v>7858</v>
      </c>
      <c r="AJ9" s="20">
        <v>6898.3</v>
      </c>
      <c r="AK9" s="20">
        <v>8344.6</v>
      </c>
      <c r="AL9" s="20">
        <v>7034.7</v>
      </c>
      <c r="AM9" s="20">
        <v>8379.5</v>
      </c>
      <c r="AN9" s="20">
        <v>7659.2</v>
      </c>
      <c r="AO9" s="20">
        <v>8901.5</v>
      </c>
      <c r="AP9" s="20">
        <v>7814.4</v>
      </c>
      <c r="AQ9" s="20">
        <v>9452.8</v>
      </c>
      <c r="AR9" s="20">
        <v>7968.9</v>
      </c>
      <c r="AS9" s="20">
        <v>9492.3</v>
      </c>
      <c r="AT9" s="20">
        <v>8676.4</v>
      </c>
      <c r="AU9" s="20">
        <v>10083.7</v>
      </c>
      <c r="AV9" s="20">
        <v>8852.2</v>
      </c>
      <c r="AW9" s="20">
        <v>10708.1</v>
      </c>
      <c r="AX9" s="20">
        <v>9027.2</v>
      </c>
      <c r="AY9" s="20">
        <v>10752.9</v>
      </c>
      <c r="AZ9" s="20">
        <v>9828.6</v>
      </c>
      <c r="BA9" s="20">
        <v>11422.8</v>
      </c>
      <c r="BB9" s="20">
        <v>10027.7</v>
      </c>
      <c r="BC9" s="20">
        <v>12130.2</v>
      </c>
    </row>
    <row r="10" ht="15" customHeight="1">
      <c r="A10" s="19" t="s">
        <v>35</v>
      </c>
      <c r="B10" s="19" t="s">
        <v>161</v>
      </c>
      <c r="C10" s="19" t="s">
        <v>162</v>
      </c>
      <c r="D10" s="19">
        <v>1110</v>
      </c>
      <c r="E10" s="19" t="s">
        <v>164</v>
      </c>
      <c r="F10" s="19" t="s">
        <v>39</v>
      </c>
      <c r="G10" s="20">
        <v>1450</v>
      </c>
      <c r="H10" s="20">
        <v>1480.4</v>
      </c>
      <c r="I10" s="20">
        <v>1511.5</v>
      </c>
      <c r="J10" s="20">
        <v>1543.3</v>
      </c>
      <c r="K10" s="20">
        <v>1575.7</v>
      </c>
      <c r="L10" s="20">
        <v>1608.8</v>
      </c>
      <c r="M10" s="20">
        <v>1642.6</v>
      </c>
      <c r="N10" s="20">
        <v>1677.1</v>
      </c>
      <c r="O10" s="20">
        <v>1712.3</v>
      </c>
      <c r="P10" s="20">
        <v>1748.2</v>
      </c>
      <c r="Q10" s="20">
        <v>1784.9</v>
      </c>
      <c r="R10" s="20">
        <v>1822.4</v>
      </c>
      <c r="S10" s="20">
        <v>1860.7</v>
      </c>
      <c r="T10" s="20">
        <v>1899.8</v>
      </c>
      <c r="U10" s="20">
        <v>1939.7</v>
      </c>
      <c r="V10" s="20">
        <v>1980.4</v>
      </c>
      <c r="W10" s="20">
        <v>2022</v>
      </c>
      <c r="X10" s="20">
        <v>2064.5</v>
      </c>
      <c r="Y10" s="20">
        <v>2107.8</v>
      </c>
      <c r="Z10" s="20">
        <v>2152.1</v>
      </c>
      <c r="AA10" s="20">
        <v>2197.3</v>
      </c>
      <c r="AB10" s="20">
        <v>2243.4</v>
      </c>
      <c r="AC10" s="20">
        <v>2290.5</v>
      </c>
      <c r="AD10" s="20">
        <v>2338.6</v>
      </c>
      <c r="AE10" s="21"/>
      <c r="AF10" s="20">
        <v>1377.5</v>
      </c>
      <c r="AG10" s="20">
        <v>1569.3</v>
      </c>
      <c r="AH10" s="20">
        <v>1405.7</v>
      </c>
      <c r="AI10" s="20">
        <v>1666.7</v>
      </c>
      <c r="AJ10" s="20">
        <v>1433.9</v>
      </c>
      <c r="AK10" s="20">
        <v>1769.7</v>
      </c>
      <c r="AL10" s="20">
        <v>1560.4</v>
      </c>
      <c r="AM10" s="20">
        <v>1777.7</v>
      </c>
      <c r="AN10" s="20">
        <v>1592.4</v>
      </c>
      <c r="AO10" s="20">
        <v>1888.1</v>
      </c>
      <c r="AP10" s="20">
        <v>1624.3</v>
      </c>
      <c r="AQ10" s="20">
        <v>2004.7</v>
      </c>
      <c r="AR10" s="20">
        <v>1767.7</v>
      </c>
      <c r="AS10" s="20">
        <v>2013.8</v>
      </c>
      <c r="AT10" s="20">
        <v>1803.9</v>
      </c>
      <c r="AU10" s="20">
        <v>2138.8</v>
      </c>
      <c r="AV10" s="20">
        <v>1840</v>
      </c>
      <c r="AW10" s="20">
        <v>2270.9</v>
      </c>
      <c r="AX10" s="20">
        <v>2002.4</v>
      </c>
      <c r="AY10" s="20">
        <v>2281.2</v>
      </c>
      <c r="AZ10" s="20">
        <v>2043.5</v>
      </c>
      <c r="BA10" s="20">
        <v>2422.9</v>
      </c>
      <c r="BB10" s="20">
        <v>2084.4</v>
      </c>
      <c r="BC10" s="20">
        <v>2572.5</v>
      </c>
    </row>
    <row r="11" ht="15" customHeight="1">
      <c r="A11" s="19" t="s">
        <v>35</v>
      </c>
      <c r="B11" s="19" t="s">
        <v>161</v>
      </c>
      <c r="C11" s="19" t="s">
        <v>162</v>
      </c>
      <c r="D11" s="19">
        <v>1120</v>
      </c>
      <c r="E11" s="19" t="s">
        <v>165</v>
      </c>
      <c r="F11" s="19" t="s">
        <v>39</v>
      </c>
      <c r="G11" s="20">
        <v>780</v>
      </c>
      <c r="H11" s="20">
        <v>796.4</v>
      </c>
      <c r="I11" s="20">
        <v>813.1</v>
      </c>
      <c r="J11" s="20">
        <v>830.2</v>
      </c>
      <c r="K11" s="20">
        <v>847.6</v>
      </c>
      <c r="L11" s="20">
        <v>865.4</v>
      </c>
      <c r="M11" s="20">
        <v>883.6</v>
      </c>
      <c r="N11" s="20">
        <v>902.1</v>
      </c>
      <c r="O11" s="20">
        <v>921.1</v>
      </c>
      <c r="P11" s="20">
        <v>940.4</v>
      </c>
      <c r="Q11" s="20">
        <v>960.2</v>
      </c>
      <c r="R11" s="20">
        <v>980.3</v>
      </c>
      <c r="S11" s="20">
        <v>1000.9</v>
      </c>
      <c r="T11" s="20">
        <v>1021.9</v>
      </c>
      <c r="U11" s="20">
        <v>1043.4</v>
      </c>
      <c r="V11" s="20">
        <v>1065.3</v>
      </c>
      <c r="W11" s="20">
        <v>1087.7</v>
      </c>
      <c r="X11" s="20">
        <v>1110.5</v>
      </c>
      <c r="Y11" s="20">
        <v>1133.9</v>
      </c>
      <c r="Z11" s="20">
        <v>1157.7</v>
      </c>
      <c r="AA11" s="20">
        <v>1182</v>
      </c>
      <c r="AB11" s="20">
        <v>1206.8</v>
      </c>
      <c r="AC11" s="20">
        <v>1232.1</v>
      </c>
      <c r="AD11" s="20">
        <v>1258</v>
      </c>
      <c r="AE11" s="21"/>
      <c r="AF11" s="20">
        <v>733.2</v>
      </c>
      <c r="AG11" s="20">
        <v>852.1</v>
      </c>
      <c r="AH11" s="20">
        <v>748.1</v>
      </c>
      <c r="AI11" s="20">
        <v>904.9</v>
      </c>
      <c r="AJ11" s="20">
        <v>762.9</v>
      </c>
      <c r="AK11" s="20">
        <v>908.7</v>
      </c>
      <c r="AL11" s="20">
        <v>830.6</v>
      </c>
      <c r="AM11" s="20">
        <v>965.3</v>
      </c>
      <c r="AN11" s="20">
        <v>847.4</v>
      </c>
      <c r="AO11" s="20">
        <v>1025.1</v>
      </c>
      <c r="AP11" s="20">
        <v>864.2</v>
      </c>
      <c r="AQ11" s="20">
        <v>1029.4</v>
      </c>
      <c r="AR11" s="20">
        <v>940.9</v>
      </c>
      <c r="AS11" s="20">
        <v>1093.5</v>
      </c>
      <c r="AT11" s="20">
        <v>959.9</v>
      </c>
      <c r="AU11" s="20">
        <v>1161.2</v>
      </c>
      <c r="AV11" s="20">
        <v>978.9</v>
      </c>
      <c r="AW11" s="20">
        <v>1166.1</v>
      </c>
      <c r="AX11" s="20">
        <v>1065.8</v>
      </c>
      <c r="AY11" s="20">
        <v>1238.7</v>
      </c>
      <c r="AZ11" s="20">
        <v>1087.4</v>
      </c>
      <c r="BA11" s="20">
        <v>1315.4</v>
      </c>
      <c r="BB11" s="20">
        <v>1108.9</v>
      </c>
      <c r="BC11" s="20">
        <v>1320.9</v>
      </c>
    </row>
    <row r="12" ht="15" customHeight="1">
      <c r="A12" s="19" t="s">
        <v>35</v>
      </c>
      <c r="B12" s="19" t="s">
        <v>161</v>
      </c>
      <c r="C12" s="19" t="s">
        <v>162</v>
      </c>
      <c r="D12" s="19">
        <v>1130</v>
      </c>
      <c r="E12" s="19" t="s">
        <v>166</v>
      </c>
      <c r="F12" s="19" t="s">
        <v>39</v>
      </c>
      <c r="G12" s="20">
        <v>-210</v>
      </c>
      <c r="H12" s="20">
        <v>-214.4</v>
      </c>
      <c r="I12" s="20">
        <v>-218.9</v>
      </c>
      <c r="J12" s="20">
        <v>-223.5</v>
      </c>
      <c r="K12" s="20">
        <v>-228.2</v>
      </c>
      <c r="L12" s="20">
        <v>-233</v>
      </c>
      <c r="M12" s="20">
        <v>-237.9</v>
      </c>
      <c r="N12" s="20">
        <v>-242.9</v>
      </c>
      <c r="O12" s="20">
        <v>-248</v>
      </c>
      <c r="P12" s="20">
        <v>-253.2</v>
      </c>
      <c r="Q12" s="20">
        <v>-258.5</v>
      </c>
      <c r="R12" s="20">
        <v>-263.9</v>
      </c>
      <c r="S12" s="20">
        <v>-269.5</v>
      </c>
      <c r="T12" s="20">
        <v>-275.1</v>
      </c>
      <c r="U12" s="20">
        <v>-280.9</v>
      </c>
      <c r="V12" s="20">
        <v>-286.8</v>
      </c>
      <c r="W12" s="20">
        <v>-292.8</v>
      </c>
      <c r="X12" s="20">
        <v>-299</v>
      </c>
      <c r="Y12" s="20">
        <v>-305.3</v>
      </c>
      <c r="Z12" s="20">
        <v>-311.7</v>
      </c>
      <c r="AA12" s="20">
        <v>-318.2</v>
      </c>
      <c r="AB12" s="20">
        <v>-324.9</v>
      </c>
      <c r="AC12" s="20">
        <v>-331.7</v>
      </c>
      <c r="AD12" s="20">
        <v>-338.7</v>
      </c>
      <c r="AE12" s="21"/>
      <c r="AF12" s="20">
        <v>-195.3</v>
      </c>
      <c r="AG12" s="20">
        <v>-231.6</v>
      </c>
      <c r="AH12" s="20">
        <v>-199.2</v>
      </c>
      <c r="AI12" s="20">
        <v>-245.9</v>
      </c>
      <c r="AJ12" s="20">
        <v>-216.8</v>
      </c>
      <c r="AK12" s="20">
        <v>-247</v>
      </c>
      <c r="AL12" s="20">
        <v>-221.2</v>
      </c>
      <c r="AM12" s="20">
        <v>-262.3</v>
      </c>
      <c r="AN12" s="20">
        <v>-225.7</v>
      </c>
      <c r="AO12" s="20">
        <v>-278.5</v>
      </c>
      <c r="AP12" s="20">
        <v>-245.6</v>
      </c>
      <c r="AQ12" s="20">
        <v>-279.8</v>
      </c>
      <c r="AR12" s="20">
        <v>-250.6</v>
      </c>
      <c r="AS12" s="20">
        <v>-297.2</v>
      </c>
      <c r="AT12" s="20">
        <v>-255.6</v>
      </c>
      <c r="AU12" s="20">
        <v>-315.5</v>
      </c>
      <c r="AV12" s="20">
        <v>-278.2</v>
      </c>
      <c r="AW12" s="20">
        <v>-316.9</v>
      </c>
      <c r="AX12" s="20">
        <v>-283.9</v>
      </c>
      <c r="AY12" s="20">
        <v>-336.6</v>
      </c>
      <c r="AZ12" s="20">
        <v>-289.6</v>
      </c>
      <c r="BA12" s="20">
        <v>-357.4</v>
      </c>
      <c r="BB12" s="20">
        <v>-315.1</v>
      </c>
      <c r="BC12" s="20">
        <v>-359</v>
      </c>
    </row>
    <row r="13" ht="15" customHeight="1">
      <c r="A13" s="22" t="s">
        <v>35</v>
      </c>
      <c r="B13" s="22" t="s">
        <v>161</v>
      </c>
      <c r="C13" s="22" t="s">
        <v>42</v>
      </c>
      <c r="D13" s="22" t="s">
        <v>43</v>
      </c>
      <c r="E13" s="22" t="s">
        <v>167</v>
      </c>
      <c r="F13" s="22" t="s">
        <v>39</v>
      </c>
      <c r="G13" s="23">
        <f t="shared" si="1" ref="G13:BC56">SUM(G9:G12)</f>
        <v>8920</v>
      </c>
      <c r="H13" s="23">
        <f t="shared" si="1"/>
        <v>9107.3</v>
      </c>
      <c r="I13" s="23">
        <f t="shared" si="1"/>
        <v>9298.5</v>
      </c>
      <c r="J13" s="23">
        <f t="shared" si="1"/>
        <v>9493.9</v>
      </c>
      <c r="K13" s="23">
        <f t="shared" si="1"/>
        <v>9693.2</v>
      </c>
      <c r="L13" s="23">
        <f t="shared" si="1"/>
        <v>9896.8</v>
      </c>
      <c r="M13" s="23">
        <f t="shared" si="1"/>
        <v>10104.6</v>
      </c>
      <c r="N13" s="23">
        <f t="shared" si="1"/>
        <v>10316.8</v>
      </c>
      <c r="O13" s="23">
        <f t="shared" si="1"/>
        <v>10533.5</v>
      </c>
      <c r="P13" s="23">
        <f t="shared" si="1"/>
        <v>10754.6</v>
      </c>
      <c r="Q13" s="23">
        <f t="shared" si="1"/>
        <v>10980.5</v>
      </c>
      <c r="R13" s="23">
        <f t="shared" si="1"/>
        <v>11211.1</v>
      </c>
      <c r="S13" s="23">
        <f t="shared" si="1"/>
        <v>11446.5</v>
      </c>
      <c r="T13" s="23">
        <f t="shared" si="1"/>
        <v>11686.9</v>
      </c>
      <c r="U13" s="23">
        <f t="shared" si="1"/>
        <v>11932.4</v>
      </c>
      <c r="V13" s="23">
        <f t="shared" si="1"/>
        <v>12182.9</v>
      </c>
      <c r="W13" s="23">
        <f t="shared" si="1"/>
        <v>12438.8</v>
      </c>
      <c r="X13" s="23">
        <f t="shared" si="1"/>
        <v>12700</v>
      </c>
      <c r="Y13" s="23">
        <f t="shared" si="1"/>
        <v>12966.7</v>
      </c>
      <c r="Z13" s="23">
        <f t="shared" si="1"/>
        <v>13239</v>
      </c>
      <c r="AA13" s="23">
        <f t="shared" si="1"/>
        <v>13517.1</v>
      </c>
      <c r="AB13" s="23">
        <f t="shared" si="1"/>
        <v>13800.8</v>
      </c>
      <c r="AC13" s="23">
        <f t="shared" si="1"/>
        <v>14090.6</v>
      </c>
      <c r="AD13" s="23">
        <f t="shared" si="1"/>
        <v>14386.5</v>
      </c>
      <c r="AE13" s="24"/>
      <c r="AF13" s="23">
        <f t="shared" si="1"/>
        <v>8125.4</v>
      </c>
      <c r="AG13" s="23">
        <f t="shared" si="1"/>
        <v>9586.9</v>
      </c>
      <c r="AH13" s="23">
        <f t="shared" si="1"/>
        <v>8715.9</v>
      </c>
      <c r="AI13" s="23">
        <f t="shared" si="1"/>
        <v>10183.7</v>
      </c>
      <c r="AJ13" s="23">
        <f t="shared" si="1"/>
        <v>8878.3</v>
      </c>
      <c r="AK13" s="23">
        <f t="shared" si="1"/>
        <v>10776</v>
      </c>
      <c r="AL13" s="23">
        <f t="shared" si="1"/>
        <v>9204.5</v>
      </c>
      <c r="AM13" s="23">
        <f t="shared" si="1"/>
        <v>10860.2</v>
      </c>
      <c r="AN13" s="23">
        <f t="shared" si="1"/>
        <v>9873.3</v>
      </c>
      <c r="AO13" s="23">
        <f t="shared" si="1"/>
        <v>11536.2</v>
      </c>
      <c r="AP13" s="23">
        <f t="shared" si="1"/>
        <v>10057.3</v>
      </c>
      <c r="AQ13" s="23">
        <f t="shared" si="1"/>
        <v>12207.1</v>
      </c>
      <c r="AR13" s="23">
        <f t="shared" si="1"/>
        <v>10426.9</v>
      </c>
      <c r="AS13" s="23">
        <f t="shared" si="1"/>
        <v>12302.4</v>
      </c>
      <c r="AT13" s="23">
        <f t="shared" si="1"/>
        <v>11184.6</v>
      </c>
      <c r="AU13" s="23">
        <f t="shared" si="1"/>
        <v>13068.2</v>
      </c>
      <c r="AV13" s="23">
        <f t="shared" si="1"/>
        <v>11392.9</v>
      </c>
      <c r="AW13" s="23">
        <f t="shared" si="1"/>
        <v>13828.2</v>
      </c>
      <c r="AX13" s="23">
        <f t="shared" si="1"/>
        <v>11811.5</v>
      </c>
      <c r="AY13" s="23">
        <f t="shared" si="1"/>
        <v>13936.2</v>
      </c>
      <c r="AZ13" s="23">
        <f t="shared" si="1"/>
        <v>12669.9</v>
      </c>
      <c r="BA13" s="23">
        <f t="shared" si="1"/>
        <v>14803.7</v>
      </c>
      <c r="BB13" s="23">
        <f t="shared" si="1"/>
        <v>12905.9</v>
      </c>
      <c r="BC13" s="23">
        <f t="shared" si="1"/>
        <v>15664.6</v>
      </c>
    </row>
    <row r="14" ht="15" customHeight="1">
      <c r="A14" s="19" t="s">
        <v>45</v>
      </c>
      <c r="B14" s="19" t="s">
        <v>45</v>
      </c>
      <c r="C14" s="19" t="s">
        <v>45</v>
      </c>
      <c r="D14" s="19" t="s">
        <v>45</v>
      </c>
      <c r="E14" s="19" t="s">
        <v>45</v>
      </c>
      <c r="F14" s="19" t="s">
        <v>45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1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</row>
    <row r="15" ht="15" customHeight="1">
      <c r="A15" s="19" t="s">
        <v>35</v>
      </c>
      <c r="B15" s="19" t="s">
        <v>168</v>
      </c>
      <c r="C15" s="19" t="s">
        <v>169</v>
      </c>
      <c r="D15" s="19">
        <v>1200</v>
      </c>
      <c r="E15" s="19" t="s">
        <v>170</v>
      </c>
      <c r="F15" s="19" t="s">
        <v>39</v>
      </c>
      <c r="G15" s="20">
        <v>1150</v>
      </c>
      <c r="H15" s="20">
        <v>1169.6</v>
      </c>
      <c r="I15" s="20">
        <v>1189.4</v>
      </c>
      <c r="J15" s="20">
        <v>1209.7</v>
      </c>
      <c r="K15" s="20">
        <v>1230.2</v>
      </c>
      <c r="L15" s="20">
        <v>1251.1</v>
      </c>
      <c r="M15" s="20">
        <v>1272.4</v>
      </c>
      <c r="N15" s="20">
        <v>1294</v>
      </c>
      <c r="O15" s="20">
        <v>1316</v>
      </c>
      <c r="P15" s="20">
        <v>1338.4</v>
      </c>
      <c r="Q15" s="20">
        <v>1361.2</v>
      </c>
      <c r="R15" s="20">
        <v>1384.3</v>
      </c>
      <c r="S15" s="20">
        <v>1407.8</v>
      </c>
      <c r="T15" s="20">
        <v>1431.8</v>
      </c>
      <c r="U15" s="20">
        <v>1456.1</v>
      </c>
      <c r="V15" s="20">
        <v>1480.9</v>
      </c>
      <c r="W15" s="20">
        <v>1506</v>
      </c>
      <c r="X15" s="20">
        <v>1531.6</v>
      </c>
      <c r="Y15" s="20">
        <v>1557.7</v>
      </c>
      <c r="Z15" s="20">
        <v>1584.1</v>
      </c>
      <c r="AA15" s="20">
        <v>1611.1</v>
      </c>
      <c r="AB15" s="20">
        <v>1638.5</v>
      </c>
      <c r="AC15" s="20">
        <v>1666.3</v>
      </c>
      <c r="AD15" s="20">
        <v>1694.6</v>
      </c>
      <c r="AE15" s="21"/>
      <c r="AF15" s="20">
        <v>1035</v>
      </c>
      <c r="AG15" s="20">
        <v>1228</v>
      </c>
      <c r="AH15" s="20">
        <v>1118.1</v>
      </c>
      <c r="AI15" s="20">
        <v>1294.3</v>
      </c>
      <c r="AJ15" s="20">
        <v>1131.8</v>
      </c>
      <c r="AK15" s="20">
        <v>1363.7</v>
      </c>
      <c r="AL15" s="20">
        <v>1145.2</v>
      </c>
      <c r="AM15" s="20">
        <v>1358.7</v>
      </c>
      <c r="AN15" s="20">
        <v>1237.1</v>
      </c>
      <c r="AO15" s="20">
        <v>1432.1</v>
      </c>
      <c r="AP15" s="20">
        <v>1252.3</v>
      </c>
      <c r="AQ15" s="20">
        <v>1508.9</v>
      </c>
      <c r="AR15" s="20">
        <v>1267</v>
      </c>
      <c r="AS15" s="20">
        <v>1503.3</v>
      </c>
      <c r="AT15" s="20">
        <v>1368.7</v>
      </c>
      <c r="AU15" s="20">
        <v>1584.5</v>
      </c>
      <c r="AV15" s="20">
        <v>1385.5</v>
      </c>
      <c r="AW15" s="20">
        <v>1669.5</v>
      </c>
      <c r="AX15" s="20">
        <v>1401.9</v>
      </c>
      <c r="AY15" s="20">
        <v>1663.4</v>
      </c>
      <c r="AZ15" s="20">
        <v>1514.4</v>
      </c>
      <c r="BA15" s="20">
        <v>1753.2</v>
      </c>
      <c r="BB15" s="20">
        <v>1533</v>
      </c>
      <c r="BC15" s="20">
        <v>1847.2</v>
      </c>
    </row>
    <row r="16" ht="15" customHeight="1">
      <c r="A16" s="19" t="s">
        <v>35</v>
      </c>
      <c r="B16" s="19" t="s">
        <v>168</v>
      </c>
      <c r="C16" s="19" t="s">
        <v>169</v>
      </c>
      <c r="D16" s="19">
        <v>1210</v>
      </c>
      <c r="E16" s="19" t="s">
        <v>171</v>
      </c>
      <c r="F16" s="19" t="s">
        <v>39</v>
      </c>
      <c r="G16" s="20">
        <v>320</v>
      </c>
      <c r="H16" s="20">
        <v>325.4</v>
      </c>
      <c r="I16" s="20">
        <v>331</v>
      </c>
      <c r="J16" s="20">
        <v>336.6</v>
      </c>
      <c r="K16" s="20">
        <v>342.3</v>
      </c>
      <c r="L16" s="20">
        <v>348.1</v>
      </c>
      <c r="M16" s="20">
        <v>354.1</v>
      </c>
      <c r="N16" s="20">
        <v>360.1</v>
      </c>
      <c r="O16" s="20">
        <v>366.2</v>
      </c>
      <c r="P16" s="20">
        <v>372.4</v>
      </c>
      <c r="Q16" s="20">
        <v>378.8</v>
      </c>
      <c r="R16" s="20">
        <v>385.2</v>
      </c>
      <c r="S16" s="20">
        <v>391.7</v>
      </c>
      <c r="T16" s="20">
        <v>398.4</v>
      </c>
      <c r="U16" s="20">
        <v>405.2</v>
      </c>
      <c r="V16" s="20">
        <v>412.1</v>
      </c>
      <c r="W16" s="20">
        <v>419.1</v>
      </c>
      <c r="X16" s="20">
        <v>426.2</v>
      </c>
      <c r="Y16" s="20">
        <v>433.4</v>
      </c>
      <c r="Z16" s="20">
        <v>440.8</v>
      </c>
      <c r="AA16" s="20">
        <v>448.3</v>
      </c>
      <c r="AB16" s="20">
        <v>455.9</v>
      </c>
      <c r="AC16" s="20">
        <v>463.7</v>
      </c>
      <c r="AD16" s="20">
        <v>471.6</v>
      </c>
      <c r="AE16" s="21"/>
      <c r="AF16" s="20">
        <v>304</v>
      </c>
      <c r="AG16" s="20">
        <v>345</v>
      </c>
      <c r="AH16" s="20">
        <v>307.8</v>
      </c>
      <c r="AI16" s="20">
        <v>363.5</v>
      </c>
      <c r="AJ16" s="20">
        <v>311.5</v>
      </c>
      <c r="AK16" s="20">
        <v>383</v>
      </c>
      <c r="AL16" s="20">
        <v>336.4</v>
      </c>
      <c r="AM16" s="20">
        <v>381.7</v>
      </c>
      <c r="AN16" s="20">
        <v>340.6</v>
      </c>
      <c r="AO16" s="20">
        <v>402.2</v>
      </c>
      <c r="AP16" s="20">
        <v>344.7</v>
      </c>
      <c r="AQ16" s="20">
        <v>423.7</v>
      </c>
      <c r="AR16" s="20">
        <v>372.2</v>
      </c>
      <c r="AS16" s="20">
        <v>422.3</v>
      </c>
      <c r="AT16" s="20">
        <v>376.8</v>
      </c>
      <c r="AU16" s="20">
        <v>445</v>
      </c>
      <c r="AV16" s="20">
        <v>381.4</v>
      </c>
      <c r="AW16" s="20">
        <v>468.8</v>
      </c>
      <c r="AX16" s="20">
        <v>411.8</v>
      </c>
      <c r="AY16" s="20">
        <v>467.3</v>
      </c>
      <c r="AZ16" s="20">
        <v>416.9</v>
      </c>
      <c r="BA16" s="20">
        <v>492.4</v>
      </c>
      <c r="BB16" s="20">
        <v>421.9</v>
      </c>
      <c r="BC16" s="20">
        <v>518.7</v>
      </c>
    </row>
    <row r="17" ht="15" customHeight="1">
      <c r="A17" s="19" t="s">
        <v>35</v>
      </c>
      <c r="B17" s="19" t="s">
        <v>168</v>
      </c>
      <c r="C17" s="19" t="s">
        <v>169</v>
      </c>
      <c r="D17" s="19">
        <v>1220</v>
      </c>
      <c r="E17" s="19" t="s">
        <v>172</v>
      </c>
      <c r="F17" s="19" t="s">
        <v>39</v>
      </c>
      <c r="G17" s="20">
        <v>460</v>
      </c>
      <c r="H17" s="20">
        <v>467.8</v>
      </c>
      <c r="I17" s="20">
        <v>475.8</v>
      </c>
      <c r="J17" s="20">
        <v>483.9</v>
      </c>
      <c r="K17" s="20">
        <v>492.1</v>
      </c>
      <c r="L17" s="20">
        <v>500.5</v>
      </c>
      <c r="M17" s="20">
        <v>509</v>
      </c>
      <c r="N17" s="20">
        <v>517.6</v>
      </c>
      <c r="O17" s="20">
        <v>526.4</v>
      </c>
      <c r="P17" s="20">
        <v>535.4</v>
      </c>
      <c r="Q17" s="20">
        <v>544.5</v>
      </c>
      <c r="R17" s="20">
        <v>553.7</v>
      </c>
      <c r="S17" s="20">
        <v>563.1</v>
      </c>
      <c r="T17" s="20">
        <v>572.7</v>
      </c>
      <c r="U17" s="20">
        <v>582.4</v>
      </c>
      <c r="V17" s="20">
        <v>592.3</v>
      </c>
      <c r="W17" s="20">
        <v>602.4</v>
      </c>
      <c r="X17" s="20">
        <v>612.7</v>
      </c>
      <c r="Y17" s="20">
        <v>623.1</v>
      </c>
      <c r="Z17" s="20">
        <v>633.7</v>
      </c>
      <c r="AA17" s="20">
        <v>644.4</v>
      </c>
      <c r="AB17" s="20">
        <v>655.4</v>
      </c>
      <c r="AC17" s="20">
        <v>666.5</v>
      </c>
      <c r="AD17" s="20">
        <v>677.9</v>
      </c>
      <c r="AE17" s="21"/>
      <c r="AF17" s="20">
        <v>432.4</v>
      </c>
      <c r="AG17" s="20">
        <v>500.6</v>
      </c>
      <c r="AH17" s="20">
        <v>437.7</v>
      </c>
      <c r="AI17" s="20">
        <v>527.4</v>
      </c>
      <c r="AJ17" s="20">
        <v>442.9</v>
      </c>
      <c r="AK17" s="20">
        <v>525.5</v>
      </c>
      <c r="AL17" s="20">
        <v>478.4</v>
      </c>
      <c r="AM17" s="20">
        <v>553.8</v>
      </c>
      <c r="AN17" s="20">
        <v>484.3</v>
      </c>
      <c r="AO17" s="20">
        <v>583.5</v>
      </c>
      <c r="AP17" s="20">
        <v>490</v>
      </c>
      <c r="AQ17" s="20">
        <v>581.4</v>
      </c>
      <c r="AR17" s="20">
        <v>529.3</v>
      </c>
      <c r="AS17" s="20">
        <v>612.8</v>
      </c>
      <c r="AT17" s="20">
        <v>535.8</v>
      </c>
      <c r="AU17" s="20">
        <v>645.7</v>
      </c>
      <c r="AV17" s="20">
        <v>542.2</v>
      </c>
      <c r="AW17" s="20">
        <v>643.3</v>
      </c>
      <c r="AX17" s="20">
        <v>585.7</v>
      </c>
      <c r="AY17" s="20">
        <v>678</v>
      </c>
      <c r="AZ17" s="20">
        <v>592.9</v>
      </c>
      <c r="BA17" s="20">
        <v>714.4</v>
      </c>
      <c r="BB17" s="20">
        <v>599.9</v>
      </c>
      <c r="BC17" s="20">
        <v>711.8</v>
      </c>
    </row>
    <row r="18" ht="15" customHeight="1">
      <c r="A18" s="19" t="s">
        <v>35</v>
      </c>
      <c r="B18" s="19" t="s">
        <v>168</v>
      </c>
      <c r="C18" s="19" t="s">
        <v>169</v>
      </c>
      <c r="D18" s="19">
        <v>1230</v>
      </c>
      <c r="E18" s="19" t="s">
        <v>173</v>
      </c>
      <c r="F18" s="19" t="s">
        <v>39</v>
      </c>
      <c r="G18" s="20">
        <v>270</v>
      </c>
      <c r="H18" s="20">
        <v>274.6</v>
      </c>
      <c r="I18" s="20">
        <v>279.3</v>
      </c>
      <c r="J18" s="20">
        <v>284</v>
      </c>
      <c r="K18" s="20">
        <v>288.8</v>
      </c>
      <c r="L18" s="20">
        <v>293.7</v>
      </c>
      <c r="M18" s="20">
        <v>298.7</v>
      </c>
      <c r="N18" s="20">
        <v>303.8</v>
      </c>
      <c r="O18" s="20">
        <v>309</v>
      </c>
      <c r="P18" s="20">
        <v>314.2</v>
      </c>
      <c r="Q18" s="20">
        <v>319.6</v>
      </c>
      <c r="R18" s="20">
        <v>325</v>
      </c>
      <c r="S18" s="20">
        <v>330.5</v>
      </c>
      <c r="T18" s="20">
        <v>336.2</v>
      </c>
      <c r="U18" s="20">
        <v>341.9</v>
      </c>
      <c r="V18" s="20">
        <v>347.7</v>
      </c>
      <c r="W18" s="20">
        <v>353.6</v>
      </c>
      <c r="X18" s="20">
        <v>359.6</v>
      </c>
      <c r="Y18" s="20">
        <v>365.7</v>
      </c>
      <c r="Z18" s="20">
        <v>371.9</v>
      </c>
      <c r="AA18" s="20">
        <v>378.3</v>
      </c>
      <c r="AB18" s="20">
        <v>384.7</v>
      </c>
      <c r="AC18" s="20">
        <v>391.2</v>
      </c>
      <c r="AD18" s="20">
        <v>397.9</v>
      </c>
      <c r="AE18" s="21"/>
      <c r="AF18" s="20">
        <v>251.1</v>
      </c>
      <c r="AG18" s="20">
        <v>296.6</v>
      </c>
      <c r="AH18" s="20">
        <v>254.1</v>
      </c>
      <c r="AI18" s="20">
        <v>312.4</v>
      </c>
      <c r="AJ18" s="20">
        <v>274.4</v>
      </c>
      <c r="AK18" s="20">
        <v>311.4</v>
      </c>
      <c r="AL18" s="20">
        <v>277.8</v>
      </c>
      <c r="AM18" s="20">
        <v>328.1</v>
      </c>
      <c r="AN18" s="20">
        <v>281.2</v>
      </c>
      <c r="AO18" s="20">
        <v>345.7</v>
      </c>
      <c r="AP18" s="20">
        <v>303.6</v>
      </c>
      <c r="AQ18" s="20">
        <v>344.5</v>
      </c>
      <c r="AR18" s="20">
        <v>307.4</v>
      </c>
      <c r="AS18" s="20">
        <v>363</v>
      </c>
      <c r="AT18" s="20">
        <v>311.1</v>
      </c>
      <c r="AU18" s="20">
        <v>382.4</v>
      </c>
      <c r="AV18" s="20">
        <v>335.9</v>
      </c>
      <c r="AW18" s="20">
        <v>381.2</v>
      </c>
      <c r="AX18" s="20">
        <v>340.1</v>
      </c>
      <c r="AY18" s="20">
        <v>401.7</v>
      </c>
      <c r="AZ18" s="20">
        <v>344.2</v>
      </c>
      <c r="BA18" s="20">
        <v>423.2</v>
      </c>
      <c r="BB18" s="20">
        <v>371.7</v>
      </c>
      <c r="BC18" s="20">
        <v>421.7</v>
      </c>
    </row>
    <row r="19" ht="15" customHeight="1">
      <c r="A19" s="22" t="s">
        <v>35</v>
      </c>
      <c r="B19" s="22" t="s">
        <v>168</v>
      </c>
      <c r="C19" s="22" t="s">
        <v>42</v>
      </c>
      <c r="D19" s="22" t="s">
        <v>43</v>
      </c>
      <c r="E19" s="22" t="s">
        <v>174</v>
      </c>
      <c r="F19" s="22" t="s">
        <v>39</v>
      </c>
      <c r="G19" s="23">
        <f t="shared" si="1"/>
        <v>2200</v>
      </c>
      <c r="H19" s="23">
        <f t="shared" si="1"/>
        <v>2237.4</v>
      </c>
      <c r="I19" s="23">
        <f t="shared" si="1"/>
        <v>2275.5</v>
      </c>
      <c r="J19" s="23">
        <f t="shared" si="1"/>
        <v>2314.2</v>
      </c>
      <c r="K19" s="23">
        <f t="shared" si="1"/>
        <v>2353.4</v>
      </c>
      <c r="L19" s="23">
        <f t="shared" si="1"/>
        <v>2393.4</v>
      </c>
      <c r="M19" s="23">
        <f t="shared" si="1"/>
        <v>2434.2</v>
      </c>
      <c r="N19" s="23">
        <f t="shared" si="1"/>
        <v>2475.5</v>
      </c>
      <c r="O19" s="23">
        <f t="shared" si="1"/>
        <v>2517.6</v>
      </c>
      <c r="P19" s="23">
        <f t="shared" si="1"/>
        <v>2560.4</v>
      </c>
      <c r="Q19" s="23">
        <f t="shared" si="1"/>
        <v>2604.1</v>
      </c>
      <c r="R19" s="23">
        <f t="shared" si="1"/>
        <v>2648.2</v>
      </c>
      <c r="S19" s="23">
        <f t="shared" si="1"/>
        <v>2693.1</v>
      </c>
      <c r="T19" s="23">
        <f t="shared" si="1"/>
        <v>2739.1</v>
      </c>
      <c r="U19" s="23">
        <f t="shared" si="1"/>
        <v>2785.6</v>
      </c>
      <c r="V19" s="23">
        <f t="shared" si="1"/>
        <v>2833</v>
      </c>
      <c r="W19" s="23">
        <f t="shared" si="1"/>
        <v>2881.1</v>
      </c>
      <c r="X19" s="23">
        <f t="shared" si="1"/>
        <v>2930.1</v>
      </c>
      <c r="Y19" s="23">
        <f t="shared" si="1"/>
        <v>2979.9</v>
      </c>
      <c r="Z19" s="23">
        <f t="shared" si="1"/>
        <v>3030.5</v>
      </c>
      <c r="AA19" s="23">
        <f t="shared" si="1"/>
        <v>3082.1</v>
      </c>
      <c r="AB19" s="23">
        <f t="shared" si="1"/>
        <v>3134.5</v>
      </c>
      <c r="AC19" s="23">
        <f t="shared" si="1"/>
        <v>3187.7</v>
      </c>
      <c r="AD19" s="23">
        <f t="shared" si="1"/>
        <v>3242</v>
      </c>
      <c r="AE19" s="24"/>
      <c r="AF19" s="23">
        <f t="shared" si="1"/>
        <v>2022.5</v>
      </c>
      <c r="AG19" s="23">
        <f t="shared" si="1"/>
        <v>2370.2</v>
      </c>
      <c r="AH19" s="23">
        <f t="shared" si="1"/>
        <v>2117.7</v>
      </c>
      <c r="AI19" s="23">
        <f t="shared" si="1"/>
        <v>2497.6</v>
      </c>
      <c r="AJ19" s="23">
        <f t="shared" si="1"/>
        <v>2160.6</v>
      </c>
      <c r="AK19" s="23">
        <f t="shared" si="1"/>
        <v>2583.6</v>
      </c>
      <c r="AL19" s="23">
        <f t="shared" si="1"/>
        <v>2237.8</v>
      </c>
      <c r="AM19" s="23">
        <f t="shared" si="1"/>
        <v>2622.3</v>
      </c>
      <c r="AN19" s="23">
        <f t="shared" si="1"/>
        <v>2343.2</v>
      </c>
      <c r="AO19" s="23">
        <f t="shared" si="1"/>
        <v>2763.5</v>
      </c>
      <c r="AP19" s="23">
        <f t="shared" si="1"/>
        <v>2390.6</v>
      </c>
      <c r="AQ19" s="23">
        <f t="shared" si="1"/>
        <v>2858.5</v>
      </c>
      <c r="AR19" s="23">
        <f t="shared" si="1"/>
        <v>2475.9</v>
      </c>
      <c r="AS19" s="23">
        <f t="shared" si="1"/>
        <v>2901.4</v>
      </c>
      <c r="AT19" s="23">
        <f t="shared" si="1"/>
        <v>2592.4</v>
      </c>
      <c r="AU19" s="23">
        <f t="shared" si="1"/>
        <v>3057.6</v>
      </c>
      <c r="AV19" s="23">
        <f t="shared" si="1"/>
        <v>2645</v>
      </c>
      <c r="AW19" s="23">
        <f t="shared" si="1"/>
        <v>3162.8</v>
      </c>
      <c r="AX19" s="23">
        <f t="shared" si="1"/>
        <v>2739.5</v>
      </c>
      <c r="AY19" s="23">
        <f t="shared" si="1"/>
        <v>3210.4</v>
      </c>
      <c r="AZ19" s="23">
        <f t="shared" si="1"/>
        <v>2868.4</v>
      </c>
      <c r="BA19" s="23">
        <f t="shared" si="1"/>
        <v>3383.2</v>
      </c>
      <c r="BB19" s="23">
        <f t="shared" si="1"/>
        <v>2926.5</v>
      </c>
      <c r="BC19" s="23">
        <f t="shared" si="1"/>
        <v>3499.4</v>
      </c>
    </row>
    <row r="20" ht="15" customHeight="1">
      <c r="A20" s="19" t="s">
        <v>45</v>
      </c>
      <c r="B20" s="19" t="s">
        <v>45</v>
      </c>
      <c r="C20" s="19" t="s">
        <v>45</v>
      </c>
      <c r="D20" s="19" t="s">
        <v>45</v>
      </c>
      <c r="E20" s="19" t="s">
        <v>45</v>
      </c>
      <c r="F20" s="19" t="s">
        <v>45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1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</row>
    <row r="21" ht="15" customHeight="1">
      <c r="A21" s="19" t="s">
        <v>35</v>
      </c>
      <c r="B21" s="19" t="s">
        <v>133</v>
      </c>
      <c r="C21" s="19" t="s">
        <v>134</v>
      </c>
      <c r="D21" s="19">
        <v>1300</v>
      </c>
      <c r="E21" s="19" t="s">
        <v>175</v>
      </c>
      <c r="F21" s="19" t="s">
        <v>39</v>
      </c>
      <c r="G21" s="20">
        <v>6200</v>
      </c>
      <c r="H21" s="20">
        <v>6335</v>
      </c>
      <c r="I21" s="20">
        <v>6470</v>
      </c>
      <c r="J21" s="20">
        <v>6605</v>
      </c>
      <c r="K21" s="20">
        <v>6740</v>
      </c>
      <c r="L21" s="20">
        <v>6875</v>
      </c>
      <c r="M21" s="20">
        <v>7010</v>
      </c>
      <c r="N21" s="20">
        <v>7145</v>
      </c>
      <c r="O21" s="20">
        <v>7280</v>
      </c>
      <c r="P21" s="20">
        <v>7415</v>
      </c>
      <c r="Q21" s="20">
        <v>7550</v>
      </c>
      <c r="R21" s="20">
        <v>7685</v>
      </c>
      <c r="S21" s="20">
        <v>7820</v>
      </c>
      <c r="T21" s="20">
        <v>7955</v>
      </c>
      <c r="U21" s="20">
        <v>8090</v>
      </c>
      <c r="V21" s="20">
        <v>8225</v>
      </c>
      <c r="W21" s="20">
        <v>8360</v>
      </c>
      <c r="X21" s="20">
        <v>8495</v>
      </c>
      <c r="Y21" s="20">
        <v>8630</v>
      </c>
      <c r="Z21" s="20">
        <v>8765</v>
      </c>
      <c r="AA21" s="20">
        <v>8900</v>
      </c>
      <c r="AB21" s="20">
        <v>9035</v>
      </c>
      <c r="AC21" s="20">
        <v>9170</v>
      </c>
      <c r="AD21" s="20">
        <v>9305</v>
      </c>
      <c r="AE21" s="21"/>
      <c r="AF21" s="20">
        <v>5580</v>
      </c>
      <c r="AG21" s="20">
        <v>6651.8</v>
      </c>
      <c r="AH21" s="20">
        <v>6081.8</v>
      </c>
      <c r="AI21" s="20">
        <v>7067.4</v>
      </c>
      <c r="AJ21" s="20">
        <v>6200.8</v>
      </c>
      <c r="AK21" s="20">
        <v>7493.8</v>
      </c>
      <c r="AL21" s="20">
        <v>6309</v>
      </c>
      <c r="AM21" s="20">
        <v>7502.3</v>
      </c>
      <c r="AN21" s="20">
        <v>6843.2</v>
      </c>
      <c r="AO21" s="20">
        <v>7934.1</v>
      </c>
      <c r="AP21" s="20">
        <v>6946</v>
      </c>
      <c r="AQ21" s="20">
        <v>8376.7</v>
      </c>
      <c r="AR21" s="20">
        <v>7038</v>
      </c>
      <c r="AS21" s="20">
        <v>8352.8</v>
      </c>
      <c r="AT21" s="20">
        <v>7604.6</v>
      </c>
      <c r="AU21" s="20">
        <v>8800.8</v>
      </c>
      <c r="AV21" s="20">
        <v>7691.2</v>
      </c>
      <c r="AW21" s="20">
        <v>9259.6</v>
      </c>
      <c r="AX21" s="20">
        <v>7767</v>
      </c>
      <c r="AY21" s="20">
        <v>9203.3</v>
      </c>
      <c r="AZ21" s="20">
        <v>8366</v>
      </c>
      <c r="BA21" s="20">
        <v>9667.5</v>
      </c>
      <c r="BB21" s="20">
        <v>8436.4</v>
      </c>
      <c r="BC21" s="20">
        <v>10142.5</v>
      </c>
    </row>
    <row r="22" ht="15" customHeight="1">
      <c r="A22" s="19" t="s">
        <v>35</v>
      </c>
      <c r="B22" s="19" t="s">
        <v>133</v>
      </c>
      <c r="C22" s="19" t="s">
        <v>134</v>
      </c>
      <c r="D22" s="19">
        <v>1310</v>
      </c>
      <c r="E22" s="19" t="s">
        <v>176</v>
      </c>
      <c r="F22" s="19" t="s">
        <v>39</v>
      </c>
      <c r="G22" s="20">
        <v>-2650</v>
      </c>
      <c r="H22" s="20">
        <v>-2725</v>
      </c>
      <c r="I22" s="20">
        <v>-2800</v>
      </c>
      <c r="J22" s="20">
        <v>-2875</v>
      </c>
      <c r="K22" s="20">
        <v>-2950</v>
      </c>
      <c r="L22" s="20">
        <v>-3025</v>
      </c>
      <c r="M22" s="20">
        <v>-3100</v>
      </c>
      <c r="N22" s="20">
        <v>-3175</v>
      </c>
      <c r="O22" s="20">
        <v>-3250</v>
      </c>
      <c r="P22" s="20">
        <v>-3325</v>
      </c>
      <c r="Q22" s="20">
        <v>-3400</v>
      </c>
      <c r="R22" s="20">
        <v>-3475</v>
      </c>
      <c r="S22" s="20">
        <v>-3550</v>
      </c>
      <c r="T22" s="20">
        <v>-3625</v>
      </c>
      <c r="U22" s="20">
        <v>-3700</v>
      </c>
      <c r="V22" s="20">
        <v>-3775</v>
      </c>
      <c r="W22" s="20">
        <v>-3850</v>
      </c>
      <c r="X22" s="20">
        <v>-3925</v>
      </c>
      <c r="Y22" s="20">
        <v>-4000</v>
      </c>
      <c r="Z22" s="20">
        <v>-4075</v>
      </c>
      <c r="AA22" s="20">
        <v>-4150</v>
      </c>
      <c r="AB22" s="20">
        <v>-4225</v>
      </c>
      <c r="AC22" s="20">
        <v>-4300</v>
      </c>
      <c r="AD22" s="20">
        <v>-4375</v>
      </c>
      <c r="AE22" s="21"/>
      <c r="AF22" s="20">
        <v>-2517.5</v>
      </c>
      <c r="AG22" s="20">
        <v>-2888.5</v>
      </c>
      <c r="AH22" s="20">
        <v>-2604</v>
      </c>
      <c r="AI22" s="20">
        <v>-3105</v>
      </c>
      <c r="AJ22" s="20">
        <v>-2684.5</v>
      </c>
      <c r="AK22" s="20">
        <v>-3327.5</v>
      </c>
      <c r="AL22" s="20">
        <v>-2945</v>
      </c>
      <c r="AM22" s="20">
        <v>-3365.5</v>
      </c>
      <c r="AN22" s="20">
        <v>-3022.5</v>
      </c>
      <c r="AO22" s="20">
        <v>-3591</v>
      </c>
      <c r="AP22" s="20">
        <v>-3094</v>
      </c>
      <c r="AQ22" s="20">
        <v>-3822.5</v>
      </c>
      <c r="AR22" s="20">
        <v>-3372.5</v>
      </c>
      <c r="AS22" s="20">
        <v>-3842.5</v>
      </c>
      <c r="AT22" s="20">
        <v>-3441</v>
      </c>
      <c r="AU22" s="20">
        <v>-4077</v>
      </c>
      <c r="AV22" s="20">
        <v>-3503.5</v>
      </c>
      <c r="AW22" s="20">
        <v>-4317.5</v>
      </c>
      <c r="AX22" s="20">
        <v>-3800</v>
      </c>
      <c r="AY22" s="20">
        <v>-4319.5</v>
      </c>
      <c r="AZ22" s="20">
        <v>-3859.5</v>
      </c>
      <c r="BA22" s="20">
        <v>-4563</v>
      </c>
      <c r="BB22" s="20">
        <v>-3913</v>
      </c>
      <c r="BC22" s="20">
        <v>-4812.5</v>
      </c>
    </row>
    <row r="23" ht="15" customHeight="1">
      <c r="A23" s="19" t="s">
        <v>35</v>
      </c>
      <c r="B23" s="19" t="s">
        <v>133</v>
      </c>
      <c r="C23" s="19" t="s">
        <v>134</v>
      </c>
      <c r="D23" s="19">
        <v>1320</v>
      </c>
      <c r="E23" s="19" t="s">
        <v>177</v>
      </c>
      <c r="F23" s="19" t="s">
        <v>39</v>
      </c>
      <c r="G23" s="20">
        <v>1780</v>
      </c>
      <c r="H23" s="20">
        <v>1915</v>
      </c>
      <c r="I23" s="20">
        <v>2050</v>
      </c>
      <c r="J23" s="20">
        <v>2185</v>
      </c>
      <c r="K23" s="20">
        <v>2320</v>
      </c>
      <c r="L23" s="20">
        <v>2455</v>
      </c>
      <c r="M23" s="20">
        <v>2590</v>
      </c>
      <c r="N23" s="20">
        <v>2725</v>
      </c>
      <c r="O23" s="20">
        <v>2860</v>
      </c>
      <c r="P23" s="20">
        <v>2995</v>
      </c>
      <c r="Q23" s="20">
        <v>3130</v>
      </c>
      <c r="R23" s="20">
        <v>3265</v>
      </c>
      <c r="S23" s="20">
        <v>3400</v>
      </c>
      <c r="T23" s="20">
        <v>3535</v>
      </c>
      <c r="U23" s="20">
        <v>3670</v>
      </c>
      <c r="V23" s="20">
        <v>3805</v>
      </c>
      <c r="W23" s="20">
        <v>3940</v>
      </c>
      <c r="X23" s="20">
        <v>4075</v>
      </c>
      <c r="Y23" s="20">
        <v>4210</v>
      </c>
      <c r="Z23" s="20">
        <v>4345</v>
      </c>
      <c r="AA23" s="20">
        <v>4480</v>
      </c>
      <c r="AB23" s="20">
        <v>4615</v>
      </c>
      <c r="AC23" s="20">
        <v>4750</v>
      </c>
      <c r="AD23" s="20">
        <v>4885</v>
      </c>
      <c r="AE23" s="21"/>
      <c r="AF23" s="20">
        <v>1673.2</v>
      </c>
      <c r="AG23" s="20">
        <v>2049.1</v>
      </c>
      <c r="AH23" s="20">
        <v>1886</v>
      </c>
      <c r="AI23" s="20">
        <v>2381.7</v>
      </c>
      <c r="AJ23" s="20">
        <v>2088</v>
      </c>
      <c r="AK23" s="20">
        <v>2577.8</v>
      </c>
      <c r="AL23" s="20">
        <v>2434.6</v>
      </c>
      <c r="AM23" s="20">
        <v>2915.8</v>
      </c>
      <c r="AN23" s="20">
        <v>2631.2</v>
      </c>
      <c r="AO23" s="20">
        <v>3264.6</v>
      </c>
      <c r="AP23" s="20">
        <v>2817</v>
      </c>
      <c r="AQ23" s="20">
        <v>3428.3</v>
      </c>
      <c r="AR23" s="20">
        <v>3196</v>
      </c>
      <c r="AS23" s="20">
        <v>3782.5</v>
      </c>
      <c r="AT23" s="20">
        <v>3376.4</v>
      </c>
      <c r="AU23" s="20">
        <v>4147.5</v>
      </c>
      <c r="AV23" s="20">
        <v>3546</v>
      </c>
      <c r="AW23" s="20">
        <v>4278.8</v>
      </c>
      <c r="AX23" s="20">
        <v>3957.4</v>
      </c>
      <c r="AY23" s="20">
        <v>4649.2</v>
      </c>
      <c r="AZ23" s="20">
        <v>4121.6</v>
      </c>
      <c r="BA23" s="20">
        <v>5030.4</v>
      </c>
      <c r="BB23" s="20">
        <v>4275</v>
      </c>
      <c r="BC23" s="20">
        <v>5129.3</v>
      </c>
    </row>
    <row r="24" ht="15" customHeight="1">
      <c r="A24" s="19" t="s">
        <v>35</v>
      </c>
      <c r="B24" s="19" t="s">
        <v>133</v>
      </c>
      <c r="C24" s="19" t="s">
        <v>134</v>
      </c>
      <c r="D24" s="19">
        <v>1330</v>
      </c>
      <c r="E24" s="19" t="s">
        <v>178</v>
      </c>
      <c r="F24" s="19" t="s">
        <v>39</v>
      </c>
      <c r="G24" s="20">
        <v>-640</v>
      </c>
      <c r="H24" s="20">
        <v>-715</v>
      </c>
      <c r="I24" s="20">
        <v>-790</v>
      </c>
      <c r="J24" s="20">
        <v>-865</v>
      </c>
      <c r="K24" s="20">
        <v>-940</v>
      </c>
      <c r="L24" s="20">
        <v>-1015</v>
      </c>
      <c r="M24" s="20">
        <v>-1090</v>
      </c>
      <c r="N24" s="20">
        <v>-1165</v>
      </c>
      <c r="O24" s="20">
        <v>-1240</v>
      </c>
      <c r="P24" s="20">
        <v>-1315</v>
      </c>
      <c r="Q24" s="20">
        <v>-1390</v>
      </c>
      <c r="R24" s="20">
        <v>-1465</v>
      </c>
      <c r="S24" s="20">
        <v>-1540</v>
      </c>
      <c r="T24" s="20">
        <v>-1615</v>
      </c>
      <c r="U24" s="20">
        <v>-1690</v>
      </c>
      <c r="V24" s="20">
        <v>-1765</v>
      </c>
      <c r="W24" s="20">
        <v>-1840</v>
      </c>
      <c r="X24" s="20">
        <v>-1915</v>
      </c>
      <c r="Y24" s="20">
        <v>-1990</v>
      </c>
      <c r="Z24" s="20">
        <v>-2065</v>
      </c>
      <c r="AA24" s="20">
        <v>-2140</v>
      </c>
      <c r="AB24" s="20">
        <v>-2215</v>
      </c>
      <c r="AC24" s="20">
        <v>-2290</v>
      </c>
      <c r="AD24" s="20">
        <v>-2365</v>
      </c>
      <c r="AE24" s="21"/>
      <c r="AF24" s="20">
        <v>-595.2</v>
      </c>
      <c r="AG24" s="20">
        <v>-772.2</v>
      </c>
      <c r="AH24" s="20">
        <v>-718.9</v>
      </c>
      <c r="AI24" s="20">
        <v>-951.5</v>
      </c>
      <c r="AJ24" s="20">
        <v>-893</v>
      </c>
      <c r="AK24" s="20">
        <v>-1075.9</v>
      </c>
      <c r="AL24" s="20">
        <v>-1013.7</v>
      </c>
      <c r="AM24" s="20">
        <v>-1258.2</v>
      </c>
      <c r="AN24" s="20">
        <v>-1128.4</v>
      </c>
      <c r="AO24" s="20">
        <v>-1446.5</v>
      </c>
      <c r="AP24" s="20">
        <v>-1320.5</v>
      </c>
      <c r="AQ24" s="20">
        <v>-1552.9</v>
      </c>
      <c r="AR24" s="20">
        <v>-1432.2</v>
      </c>
      <c r="AS24" s="20">
        <v>-1744.2</v>
      </c>
      <c r="AT24" s="20">
        <v>-1537.9</v>
      </c>
      <c r="AU24" s="20">
        <v>-1941.5</v>
      </c>
      <c r="AV24" s="20">
        <v>-1748</v>
      </c>
      <c r="AW24" s="20">
        <v>-2029.9</v>
      </c>
      <c r="AX24" s="20">
        <v>-1850.7</v>
      </c>
      <c r="AY24" s="20">
        <v>-2230.2</v>
      </c>
      <c r="AZ24" s="20">
        <v>-1947.4</v>
      </c>
      <c r="BA24" s="20">
        <v>-2436.5</v>
      </c>
      <c r="BB24" s="20">
        <v>-2175.5</v>
      </c>
      <c r="BC24" s="20">
        <v>-2506.9</v>
      </c>
    </row>
    <row r="25" ht="15" customHeight="1">
      <c r="A25" s="19" t="s">
        <v>35</v>
      </c>
      <c r="B25" s="19" t="s">
        <v>133</v>
      </c>
      <c r="C25" s="19" t="s">
        <v>134</v>
      </c>
      <c r="D25" s="19">
        <v>1400</v>
      </c>
      <c r="E25" s="19" t="s">
        <v>179</v>
      </c>
      <c r="F25" s="19" t="s">
        <v>39</v>
      </c>
      <c r="G25" s="20">
        <v>3100</v>
      </c>
      <c r="H25" s="20">
        <v>3235</v>
      </c>
      <c r="I25" s="20">
        <v>3370</v>
      </c>
      <c r="J25" s="20">
        <v>3505</v>
      </c>
      <c r="K25" s="20">
        <v>3640</v>
      </c>
      <c r="L25" s="20">
        <v>3775</v>
      </c>
      <c r="M25" s="20">
        <v>3910</v>
      </c>
      <c r="N25" s="20">
        <v>4045</v>
      </c>
      <c r="O25" s="20">
        <v>4180</v>
      </c>
      <c r="P25" s="20">
        <v>4315</v>
      </c>
      <c r="Q25" s="20">
        <v>4450</v>
      </c>
      <c r="R25" s="20">
        <v>4585</v>
      </c>
      <c r="S25" s="20">
        <v>4720</v>
      </c>
      <c r="T25" s="20">
        <v>4855</v>
      </c>
      <c r="U25" s="20">
        <v>4990</v>
      </c>
      <c r="V25" s="20">
        <v>5125</v>
      </c>
      <c r="W25" s="20">
        <v>5260</v>
      </c>
      <c r="X25" s="20">
        <v>5395</v>
      </c>
      <c r="Y25" s="20">
        <v>5530</v>
      </c>
      <c r="Z25" s="20">
        <v>5665</v>
      </c>
      <c r="AA25" s="20">
        <v>5800</v>
      </c>
      <c r="AB25" s="20">
        <v>5935</v>
      </c>
      <c r="AC25" s="20">
        <v>6070</v>
      </c>
      <c r="AD25" s="20">
        <v>6205</v>
      </c>
      <c r="AE25" s="21"/>
      <c r="AF25" s="20">
        <v>2852</v>
      </c>
      <c r="AG25" s="20">
        <v>3526.2</v>
      </c>
      <c r="AH25" s="20">
        <v>3033</v>
      </c>
      <c r="AI25" s="20">
        <v>3680.3</v>
      </c>
      <c r="AJ25" s="20">
        <v>3421.6</v>
      </c>
      <c r="AK25" s="20">
        <v>4039.3</v>
      </c>
      <c r="AL25" s="20">
        <v>3597.2</v>
      </c>
      <c r="AM25" s="20">
        <v>4409.1</v>
      </c>
      <c r="AN25" s="20">
        <v>3762</v>
      </c>
      <c r="AO25" s="20">
        <v>4530.8</v>
      </c>
      <c r="AP25" s="20">
        <v>4183</v>
      </c>
      <c r="AQ25" s="20">
        <v>4906</v>
      </c>
      <c r="AR25" s="20">
        <v>4342.4</v>
      </c>
      <c r="AS25" s="20">
        <v>5292</v>
      </c>
      <c r="AT25" s="20">
        <v>4491</v>
      </c>
      <c r="AU25" s="20">
        <v>5381.3</v>
      </c>
      <c r="AV25" s="20">
        <v>4944.4</v>
      </c>
      <c r="AW25" s="20">
        <v>5772.7</v>
      </c>
      <c r="AX25" s="20">
        <v>5087.6</v>
      </c>
      <c r="AY25" s="20">
        <v>6174.9</v>
      </c>
      <c r="AZ25" s="20">
        <v>5220</v>
      </c>
      <c r="BA25" s="20">
        <v>6231.8</v>
      </c>
      <c r="BB25" s="20">
        <v>5705.8</v>
      </c>
      <c r="BC25" s="20">
        <v>6639.4</v>
      </c>
    </row>
    <row r="26" ht="15" customHeight="1">
      <c r="A26" s="19" t="s">
        <v>35</v>
      </c>
      <c r="B26" s="19" t="s">
        <v>133</v>
      </c>
      <c r="C26" s="19" t="s">
        <v>134</v>
      </c>
      <c r="D26" s="19">
        <v>1410</v>
      </c>
      <c r="E26" s="19" t="s">
        <v>180</v>
      </c>
      <c r="F26" s="19" t="s">
        <v>39</v>
      </c>
      <c r="G26" s="20">
        <v>-1480</v>
      </c>
      <c r="H26" s="20">
        <v>-1555</v>
      </c>
      <c r="I26" s="20">
        <v>-1630</v>
      </c>
      <c r="J26" s="20">
        <v>-1705</v>
      </c>
      <c r="K26" s="20">
        <v>-1780</v>
      </c>
      <c r="L26" s="20">
        <v>-1855</v>
      </c>
      <c r="M26" s="20">
        <v>-1930</v>
      </c>
      <c r="N26" s="20">
        <v>-2005</v>
      </c>
      <c r="O26" s="20">
        <v>-2080</v>
      </c>
      <c r="P26" s="20">
        <v>-2155</v>
      </c>
      <c r="Q26" s="20">
        <v>-2230</v>
      </c>
      <c r="R26" s="20">
        <v>-2305</v>
      </c>
      <c r="S26" s="20">
        <v>-2380</v>
      </c>
      <c r="T26" s="20">
        <v>-2455</v>
      </c>
      <c r="U26" s="20">
        <v>-2530</v>
      </c>
      <c r="V26" s="20">
        <v>-2605</v>
      </c>
      <c r="W26" s="20">
        <v>-2680</v>
      </c>
      <c r="X26" s="20">
        <v>-2755</v>
      </c>
      <c r="Y26" s="20">
        <v>-2830</v>
      </c>
      <c r="Z26" s="20">
        <v>-2905</v>
      </c>
      <c r="AA26" s="20">
        <v>-2980</v>
      </c>
      <c r="AB26" s="20">
        <v>-3055</v>
      </c>
      <c r="AC26" s="20">
        <v>-3130</v>
      </c>
      <c r="AD26" s="20">
        <v>-3205</v>
      </c>
      <c r="AE26" s="21"/>
      <c r="AF26" s="20">
        <v>-1346.8</v>
      </c>
      <c r="AG26" s="20">
        <v>-1710.5</v>
      </c>
      <c r="AH26" s="20">
        <v>-1548.5</v>
      </c>
      <c r="AI26" s="20">
        <v>-1807.3</v>
      </c>
      <c r="AJ26" s="20">
        <v>-1655.4</v>
      </c>
      <c r="AK26" s="20">
        <v>-2003.4</v>
      </c>
      <c r="AL26" s="20">
        <v>-1756.3</v>
      </c>
      <c r="AM26" s="20">
        <v>-2205.5</v>
      </c>
      <c r="AN26" s="20">
        <v>-1976</v>
      </c>
      <c r="AO26" s="20">
        <v>-2284.3</v>
      </c>
      <c r="AP26" s="20">
        <v>-2073.9</v>
      </c>
      <c r="AQ26" s="20">
        <v>-2489.4</v>
      </c>
      <c r="AR26" s="20">
        <v>-2165.8</v>
      </c>
      <c r="AS26" s="20">
        <v>-2700.5</v>
      </c>
      <c r="AT26" s="20">
        <v>-2403.5</v>
      </c>
      <c r="AU26" s="20">
        <v>-2761.3</v>
      </c>
      <c r="AV26" s="20">
        <v>-2492.4</v>
      </c>
      <c r="AW26" s="20">
        <v>-2975.4</v>
      </c>
      <c r="AX26" s="20">
        <v>-2575.3</v>
      </c>
      <c r="AY26" s="20">
        <v>-3195.5</v>
      </c>
      <c r="AZ26" s="20">
        <v>-2831</v>
      </c>
      <c r="BA26" s="20">
        <v>-3238.3</v>
      </c>
      <c r="BB26" s="20">
        <v>-2910.9</v>
      </c>
      <c r="BC26" s="20">
        <v>-3461.4</v>
      </c>
    </row>
    <row r="27" ht="15" customHeight="1">
      <c r="A27" s="19" t="s">
        <v>35</v>
      </c>
      <c r="B27" s="19" t="s">
        <v>133</v>
      </c>
      <c r="C27" s="19" t="s">
        <v>134</v>
      </c>
      <c r="D27" s="19">
        <v>1420</v>
      </c>
      <c r="E27" s="19" t="s">
        <v>181</v>
      </c>
      <c r="F27" s="19" t="s">
        <v>39</v>
      </c>
      <c r="G27" s="20">
        <v>7600</v>
      </c>
      <c r="H27" s="20">
        <v>7735</v>
      </c>
      <c r="I27" s="20">
        <v>7870</v>
      </c>
      <c r="J27" s="20">
        <v>8005</v>
      </c>
      <c r="K27" s="20">
        <v>8140</v>
      </c>
      <c r="L27" s="20">
        <v>8275</v>
      </c>
      <c r="M27" s="20">
        <v>8410</v>
      </c>
      <c r="N27" s="20">
        <v>8545</v>
      </c>
      <c r="O27" s="20">
        <v>8680</v>
      </c>
      <c r="P27" s="20">
        <v>8815</v>
      </c>
      <c r="Q27" s="20">
        <v>8950</v>
      </c>
      <c r="R27" s="20">
        <v>9085</v>
      </c>
      <c r="S27" s="20">
        <v>9220</v>
      </c>
      <c r="T27" s="20">
        <v>9355</v>
      </c>
      <c r="U27" s="20">
        <v>9490</v>
      </c>
      <c r="V27" s="20">
        <v>9625</v>
      </c>
      <c r="W27" s="20">
        <v>9760</v>
      </c>
      <c r="X27" s="20">
        <v>9895</v>
      </c>
      <c r="Y27" s="20">
        <v>10030</v>
      </c>
      <c r="Z27" s="20">
        <v>10165</v>
      </c>
      <c r="AA27" s="20">
        <v>10300</v>
      </c>
      <c r="AB27" s="20">
        <v>10435</v>
      </c>
      <c r="AC27" s="20">
        <v>10570</v>
      </c>
      <c r="AD27" s="20">
        <v>10705</v>
      </c>
      <c r="AE27" s="21"/>
      <c r="AF27" s="20">
        <v>6840</v>
      </c>
      <c r="AG27" s="20">
        <v>8121.8</v>
      </c>
      <c r="AH27" s="20">
        <v>7397.8</v>
      </c>
      <c r="AI27" s="20">
        <v>8565.4</v>
      </c>
      <c r="AJ27" s="20">
        <v>7488.8</v>
      </c>
      <c r="AK27" s="20">
        <v>9019.8</v>
      </c>
      <c r="AL27" s="20">
        <v>7569</v>
      </c>
      <c r="AM27" s="20">
        <v>8972.3</v>
      </c>
      <c r="AN27" s="20">
        <v>8159.2</v>
      </c>
      <c r="AO27" s="20">
        <v>9432.1</v>
      </c>
      <c r="AP27" s="20">
        <v>8234</v>
      </c>
      <c r="AQ27" s="20">
        <v>9902.7</v>
      </c>
      <c r="AR27" s="20">
        <v>8298</v>
      </c>
      <c r="AS27" s="20">
        <v>9822.8</v>
      </c>
      <c r="AT27" s="20">
        <v>8920.6</v>
      </c>
      <c r="AU27" s="20">
        <v>10298.8</v>
      </c>
      <c r="AV27" s="20">
        <v>8979.2</v>
      </c>
      <c r="AW27" s="20">
        <v>10785.6</v>
      </c>
      <c r="AX27" s="20">
        <v>9027</v>
      </c>
      <c r="AY27" s="20">
        <v>10673.3</v>
      </c>
      <c r="AZ27" s="20">
        <v>9682</v>
      </c>
      <c r="BA27" s="20">
        <v>11165.5</v>
      </c>
      <c r="BB27" s="20">
        <v>9724.4</v>
      </c>
      <c r="BC27" s="20">
        <v>11668.5</v>
      </c>
    </row>
    <row r="28" ht="15" customHeight="1">
      <c r="A28" s="19" t="s">
        <v>35</v>
      </c>
      <c r="B28" s="19" t="s">
        <v>133</v>
      </c>
      <c r="C28" s="19" t="s">
        <v>134</v>
      </c>
      <c r="D28" s="19">
        <v>1430</v>
      </c>
      <c r="E28" s="19" t="s">
        <v>182</v>
      </c>
      <c r="F28" s="19" t="s">
        <v>39</v>
      </c>
      <c r="G28" s="20">
        <v>-2890</v>
      </c>
      <c r="H28" s="20">
        <v>-2965</v>
      </c>
      <c r="I28" s="20">
        <v>-3040</v>
      </c>
      <c r="J28" s="20">
        <v>-3115</v>
      </c>
      <c r="K28" s="20">
        <v>-3190</v>
      </c>
      <c r="L28" s="20">
        <v>-3265</v>
      </c>
      <c r="M28" s="20">
        <v>-3340</v>
      </c>
      <c r="N28" s="20">
        <v>-3415</v>
      </c>
      <c r="O28" s="20">
        <v>-3490</v>
      </c>
      <c r="P28" s="20">
        <v>-3565</v>
      </c>
      <c r="Q28" s="20">
        <v>-3640</v>
      </c>
      <c r="R28" s="20">
        <v>-3715</v>
      </c>
      <c r="S28" s="20">
        <v>-3790</v>
      </c>
      <c r="T28" s="20">
        <v>-3865</v>
      </c>
      <c r="U28" s="20">
        <v>-3940</v>
      </c>
      <c r="V28" s="20">
        <v>-4015</v>
      </c>
      <c r="W28" s="20">
        <v>-4090</v>
      </c>
      <c r="X28" s="20">
        <v>-4165</v>
      </c>
      <c r="Y28" s="20">
        <v>-4240</v>
      </c>
      <c r="Z28" s="20">
        <v>-4315</v>
      </c>
      <c r="AA28" s="20">
        <v>-4390</v>
      </c>
      <c r="AB28" s="20">
        <v>-4465</v>
      </c>
      <c r="AC28" s="20">
        <v>-4540</v>
      </c>
      <c r="AD28" s="20">
        <v>-4615</v>
      </c>
      <c r="AE28" s="21"/>
      <c r="AF28" s="20">
        <v>-2745.5</v>
      </c>
      <c r="AG28" s="20">
        <v>-3142.9</v>
      </c>
      <c r="AH28" s="20">
        <v>-2827.2</v>
      </c>
      <c r="AI28" s="20">
        <v>-3364.2</v>
      </c>
      <c r="AJ28" s="20">
        <v>-2902.9</v>
      </c>
      <c r="AK28" s="20">
        <v>-3591.5</v>
      </c>
      <c r="AL28" s="20">
        <v>-3173</v>
      </c>
      <c r="AM28" s="20">
        <v>-3619.9</v>
      </c>
      <c r="AN28" s="20">
        <v>-3245.7</v>
      </c>
      <c r="AO28" s="20">
        <v>-3850.2</v>
      </c>
      <c r="AP28" s="20">
        <v>-3312.4</v>
      </c>
      <c r="AQ28" s="20">
        <v>-4086.5</v>
      </c>
      <c r="AR28" s="20">
        <v>-3600.5</v>
      </c>
      <c r="AS28" s="20">
        <v>-4096.9</v>
      </c>
      <c r="AT28" s="20">
        <v>-3664.2</v>
      </c>
      <c r="AU28" s="20">
        <v>-4336.2</v>
      </c>
      <c r="AV28" s="20">
        <v>-3721.9</v>
      </c>
      <c r="AW28" s="20">
        <v>-4581.5</v>
      </c>
      <c r="AX28" s="20">
        <v>-4028</v>
      </c>
      <c r="AY28" s="20">
        <v>-4573.9</v>
      </c>
      <c r="AZ28" s="20">
        <v>-4082.7</v>
      </c>
      <c r="BA28" s="20">
        <v>-4822.2</v>
      </c>
      <c r="BB28" s="20">
        <v>-4131.4</v>
      </c>
      <c r="BC28" s="20">
        <v>-5076.5</v>
      </c>
    </row>
    <row r="29" ht="15" customHeight="1">
      <c r="A29" s="22" t="s">
        <v>35</v>
      </c>
      <c r="B29" s="22" t="s">
        <v>133</v>
      </c>
      <c r="C29" s="22" t="s">
        <v>42</v>
      </c>
      <c r="D29" s="22" t="s">
        <v>43</v>
      </c>
      <c r="E29" s="22" t="s">
        <v>183</v>
      </c>
      <c r="F29" s="22" t="s">
        <v>39</v>
      </c>
      <c r="G29" s="23">
        <f t="shared" si="2" ref="G29:BC29">SUM(G21:G28)</f>
        <v>11020</v>
      </c>
      <c r="H29" s="23">
        <f t="shared" si="2"/>
        <v>11260</v>
      </c>
      <c r="I29" s="23">
        <f t="shared" si="2"/>
        <v>11500</v>
      </c>
      <c r="J29" s="23">
        <f t="shared" si="2"/>
        <v>11740</v>
      </c>
      <c r="K29" s="23">
        <f t="shared" si="2"/>
        <v>11980</v>
      </c>
      <c r="L29" s="23">
        <f t="shared" si="2"/>
        <v>12220</v>
      </c>
      <c r="M29" s="23">
        <f t="shared" si="2"/>
        <v>12460</v>
      </c>
      <c r="N29" s="23">
        <f t="shared" si="2"/>
        <v>12700</v>
      </c>
      <c r="O29" s="23">
        <f t="shared" si="2"/>
        <v>12940</v>
      </c>
      <c r="P29" s="23">
        <f t="shared" si="2"/>
        <v>13180</v>
      </c>
      <c r="Q29" s="23">
        <f t="shared" si="2"/>
        <v>13420</v>
      </c>
      <c r="R29" s="23">
        <f t="shared" si="2"/>
        <v>13660</v>
      </c>
      <c r="S29" s="23">
        <f t="shared" si="2"/>
        <v>13900</v>
      </c>
      <c r="T29" s="23">
        <f t="shared" si="2"/>
        <v>14140</v>
      </c>
      <c r="U29" s="23">
        <f t="shared" si="2"/>
        <v>14380</v>
      </c>
      <c r="V29" s="23">
        <f t="shared" si="2"/>
        <v>14620</v>
      </c>
      <c r="W29" s="23">
        <f t="shared" si="2"/>
        <v>14860</v>
      </c>
      <c r="X29" s="23">
        <f t="shared" si="2"/>
        <v>15100</v>
      </c>
      <c r="Y29" s="23">
        <f t="shared" si="2"/>
        <v>15340</v>
      </c>
      <c r="Z29" s="23">
        <f t="shared" si="2"/>
        <v>15580</v>
      </c>
      <c r="AA29" s="23">
        <f t="shared" si="2"/>
        <v>15820</v>
      </c>
      <c r="AB29" s="23">
        <f t="shared" si="2"/>
        <v>16060</v>
      </c>
      <c r="AC29" s="23">
        <f t="shared" si="2"/>
        <v>16300</v>
      </c>
      <c r="AD29" s="23">
        <f t="shared" si="2"/>
        <v>16540</v>
      </c>
      <c r="AE29" s="24"/>
      <c r="AF29" s="23">
        <f t="shared" si="2"/>
        <v>9740.2</v>
      </c>
      <c r="AG29" s="23">
        <f t="shared" si="2"/>
        <v>11834.8</v>
      </c>
      <c r="AH29" s="23">
        <f t="shared" si="2"/>
        <v>10700</v>
      </c>
      <c r="AI29" s="23">
        <f t="shared" si="2"/>
        <v>12466.8</v>
      </c>
      <c r="AJ29" s="23">
        <f t="shared" si="2"/>
        <v>11063.4</v>
      </c>
      <c r="AK29" s="23">
        <f t="shared" si="2"/>
        <v>13132.4</v>
      </c>
      <c r="AL29" s="23">
        <f t="shared" si="2"/>
        <v>11021.8</v>
      </c>
      <c r="AM29" s="23">
        <f t="shared" si="2"/>
        <v>13350.4</v>
      </c>
      <c r="AN29" s="23">
        <f t="shared" si="2"/>
        <v>12023</v>
      </c>
      <c r="AO29" s="23">
        <f t="shared" si="2"/>
        <v>13989.6</v>
      </c>
      <c r="AP29" s="23">
        <f t="shared" si="2"/>
        <v>12379.2</v>
      </c>
      <c r="AQ29" s="23">
        <f t="shared" si="2"/>
        <v>14662.4</v>
      </c>
      <c r="AR29" s="23">
        <f t="shared" si="2"/>
        <v>12303.4</v>
      </c>
      <c r="AS29" s="23">
        <f t="shared" si="2"/>
        <v>14866</v>
      </c>
      <c r="AT29" s="23">
        <f t="shared" si="2"/>
        <v>13346</v>
      </c>
      <c r="AU29" s="23">
        <f t="shared" si="2"/>
        <v>15512.4</v>
      </c>
      <c r="AV29" s="23">
        <f t="shared" si="2"/>
        <v>13695</v>
      </c>
      <c r="AW29" s="23">
        <f t="shared" si="2"/>
        <v>16192.4</v>
      </c>
      <c r="AX29" s="23">
        <f t="shared" si="2"/>
        <v>13585</v>
      </c>
      <c r="AY29" s="23">
        <f t="shared" si="2"/>
        <v>16381.6</v>
      </c>
      <c r="AZ29" s="23">
        <f t="shared" si="2"/>
        <v>14669</v>
      </c>
      <c r="BA29" s="23">
        <f t="shared" si="2"/>
        <v>17035.2</v>
      </c>
      <c r="BB29" s="23">
        <f t="shared" si="2"/>
        <v>15010.8</v>
      </c>
      <c r="BC29" s="23">
        <f t="shared" si="2"/>
        <v>17722.4</v>
      </c>
    </row>
    <row r="30" ht="15" customHeight="1">
      <c r="A30" s="19" t="s">
        <v>45</v>
      </c>
      <c r="B30" s="19" t="s">
        <v>45</v>
      </c>
      <c r="C30" s="19" t="s">
        <v>45</v>
      </c>
      <c r="D30" s="19" t="s">
        <v>45</v>
      </c>
      <c r="E30" s="19" t="s">
        <v>45</v>
      </c>
      <c r="F30" s="19" t="s">
        <v>45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1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</row>
    <row r="31" ht="15" customHeight="1">
      <c r="A31" s="19" t="s">
        <v>184</v>
      </c>
      <c r="B31" s="19" t="s">
        <v>185</v>
      </c>
      <c r="C31" s="19" t="s">
        <v>186</v>
      </c>
      <c r="D31" s="19">
        <v>1500</v>
      </c>
      <c r="E31" s="19" t="s">
        <v>187</v>
      </c>
      <c r="F31" s="19" t="s">
        <v>39</v>
      </c>
      <c r="G31" s="20">
        <v>2850</v>
      </c>
      <c r="H31" s="20">
        <v>3283.7</v>
      </c>
      <c r="I31" s="20">
        <v>3652.8</v>
      </c>
      <c r="J31" s="20">
        <v>3908.6</v>
      </c>
      <c r="K31" s="20">
        <v>4030.1</v>
      </c>
      <c r="L31" s="20">
        <v>4029.2</v>
      </c>
      <c r="M31" s="20">
        <v>3947.6</v>
      </c>
      <c r="N31" s="20">
        <v>3847.1</v>
      </c>
      <c r="O31" s="20">
        <v>3793.8</v>
      </c>
      <c r="P31" s="20">
        <v>3842.4</v>
      </c>
      <c r="Q31" s="20">
        <v>4022.6</v>
      </c>
      <c r="R31" s="20">
        <v>4332</v>
      </c>
      <c r="S31" s="20">
        <v>4736.3</v>
      </c>
      <c r="T31" s="20">
        <v>5178.3</v>
      </c>
      <c r="U31" s="20">
        <v>5591.3</v>
      </c>
      <c r="V31" s="20">
        <v>5915.9</v>
      </c>
      <c r="W31" s="20">
        <v>6114.1</v>
      </c>
      <c r="X31" s="20">
        <v>6179.2</v>
      </c>
      <c r="Y31" s="20">
        <v>6136.7</v>
      </c>
      <c r="Z31" s="20">
        <v>6038.7</v>
      </c>
      <c r="AA31" s="20">
        <v>5950.8</v>
      </c>
      <c r="AB31" s="20">
        <v>5936.2</v>
      </c>
      <c r="AC31" s="20">
        <v>6040</v>
      </c>
      <c r="AD31" s="20">
        <v>6278.5</v>
      </c>
      <c r="AE31" s="21"/>
      <c r="AF31" s="20">
        <v>2622</v>
      </c>
      <c r="AG31" s="20">
        <v>3579.2</v>
      </c>
      <c r="AH31" s="20">
        <v>3287.5</v>
      </c>
      <c r="AI31" s="20">
        <v>4104.1</v>
      </c>
      <c r="AJ31" s="20">
        <v>3788.3</v>
      </c>
      <c r="AK31" s="20">
        <v>4311.2</v>
      </c>
      <c r="AL31" s="20">
        <v>3631.8</v>
      </c>
      <c r="AM31" s="20">
        <v>4193.3</v>
      </c>
      <c r="AN31" s="20">
        <v>3414.4</v>
      </c>
      <c r="AO31" s="20">
        <v>4034.5</v>
      </c>
      <c r="AP31" s="20">
        <v>3781.2</v>
      </c>
      <c r="AQ31" s="20">
        <v>4635.2</v>
      </c>
      <c r="AR31" s="20">
        <v>4357.4</v>
      </c>
      <c r="AS31" s="20">
        <v>5644.4</v>
      </c>
      <c r="AT31" s="20">
        <v>5032.2</v>
      </c>
      <c r="AU31" s="20">
        <v>6211.7</v>
      </c>
      <c r="AV31" s="20">
        <v>5747.3</v>
      </c>
      <c r="AW31" s="20">
        <v>6611.7</v>
      </c>
      <c r="AX31" s="20">
        <v>5645.7</v>
      </c>
      <c r="AY31" s="20">
        <v>6582.1</v>
      </c>
      <c r="AZ31" s="20">
        <v>5355.7</v>
      </c>
      <c r="BA31" s="20">
        <v>6233</v>
      </c>
      <c r="BB31" s="20">
        <v>5677.6</v>
      </c>
      <c r="BC31" s="20">
        <v>6718</v>
      </c>
    </row>
    <row r="32" ht="15" customHeight="1">
      <c r="A32" s="19" t="s">
        <v>184</v>
      </c>
      <c r="B32" s="19" t="s">
        <v>185</v>
      </c>
      <c r="C32" s="19" t="s">
        <v>186</v>
      </c>
      <c r="D32" s="19">
        <v>1510</v>
      </c>
      <c r="E32" s="19" t="s">
        <v>188</v>
      </c>
      <c r="F32" s="19" t="s">
        <v>39</v>
      </c>
      <c r="G32" s="20">
        <v>1850</v>
      </c>
      <c r="H32" s="20">
        <v>1888.9</v>
      </c>
      <c r="I32" s="20">
        <v>1928.5</v>
      </c>
      <c r="J32" s="20">
        <v>1969</v>
      </c>
      <c r="K32" s="20">
        <v>2010.4</v>
      </c>
      <c r="L32" s="20">
        <v>2052.6</v>
      </c>
      <c r="M32" s="20">
        <v>2095.7</v>
      </c>
      <c r="N32" s="20">
        <v>2139.7</v>
      </c>
      <c r="O32" s="20">
        <v>2184.6</v>
      </c>
      <c r="P32" s="20">
        <v>2230.5</v>
      </c>
      <c r="Q32" s="20">
        <v>2277.3</v>
      </c>
      <c r="R32" s="20">
        <v>2325.2</v>
      </c>
      <c r="S32" s="20">
        <v>2374</v>
      </c>
      <c r="T32" s="20">
        <v>2423.9</v>
      </c>
      <c r="U32" s="20">
        <v>2474.8</v>
      </c>
      <c r="V32" s="20">
        <v>2526.7</v>
      </c>
      <c r="W32" s="20">
        <v>2579.8</v>
      </c>
      <c r="X32" s="20">
        <v>2634</v>
      </c>
      <c r="Y32" s="20">
        <v>2689.3</v>
      </c>
      <c r="Z32" s="20">
        <v>2745.7</v>
      </c>
      <c r="AA32" s="20">
        <v>2803.4</v>
      </c>
      <c r="AB32" s="20">
        <v>2862.3</v>
      </c>
      <c r="AC32" s="20">
        <v>2922.4</v>
      </c>
      <c r="AD32" s="20">
        <v>2983.8</v>
      </c>
      <c r="AE32" s="21"/>
      <c r="AF32" s="20">
        <v>1683.5</v>
      </c>
      <c r="AG32" s="20">
        <v>2077.7</v>
      </c>
      <c r="AH32" s="20">
        <v>1832.1</v>
      </c>
      <c r="AI32" s="20">
        <v>2087.2</v>
      </c>
      <c r="AJ32" s="20">
        <v>1869.6</v>
      </c>
      <c r="AK32" s="20">
        <v>2216.8</v>
      </c>
      <c r="AL32" s="20">
        <v>1907.1</v>
      </c>
      <c r="AM32" s="20">
        <v>2353.7</v>
      </c>
      <c r="AN32" s="20">
        <v>2075.4</v>
      </c>
      <c r="AO32" s="20">
        <v>2364.3</v>
      </c>
      <c r="AP32" s="20">
        <v>2117.9</v>
      </c>
      <c r="AQ32" s="20">
        <v>2511.2</v>
      </c>
      <c r="AR32" s="20">
        <v>2160.3</v>
      </c>
      <c r="AS32" s="20">
        <v>2666.2</v>
      </c>
      <c r="AT32" s="20">
        <v>2351</v>
      </c>
      <c r="AU32" s="20">
        <v>2678.3</v>
      </c>
      <c r="AV32" s="20">
        <v>2399.2</v>
      </c>
      <c r="AW32" s="20">
        <v>2844.7</v>
      </c>
      <c r="AX32" s="20">
        <v>2447.2</v>
      </c>
      <c r="AY32" s="20">
        <v>3020.3</v>
      </c>
      <c r="AZ32" s="20">
        <v>2663.2</v>
      </c>
      <c r="BA32" s="20">
        <v>3034</v>
      </c>
      <c r="BB32" s="20">
        <v>2717.8</v>
      </c>
      <c r="BC32" s="20">
        <v>3222.5</v>
      </c>
    </row>
    <row r="33" ht="15" customHeight="1">
      <c r="A33" s="19" t="s">
        <v>184</v>
      </c>
      <c r="B33" s="19" t="s">
        <v>185</v>
      </c>
      <c r="C33" s="19" t="s">
        <v>186</v>
      </c>
      <c r="D33" s="19">
        <v>1520</v>
      </c>
      <c r="E33" s="19" t="s">
        <v>189</v>
      </c>
      <c r="F33" s="19" t="s">
        <v>39</v>
      </c>
      <c r="G33" s="20">
        <v>1120</v>
      </c>
      <c r="H33" s="20">
        <v>1120</v>
      </c>
      <c r="I33" s="20">
        <v>1120</v>
      </c>
      <c r="J33" s="20">
        <v>1120</v>
      </c>
      <c r="K33" s="20">
        <v>1120</v>
      </c>
      <c r="L33" s="20">
        <v>1120</v>
      </c>
      <c r="M33" s="20">
        <v>1120</v>
      </c>
      <c r="N33" s="20">
        <v>1120</v>
      </c>
      <c r="O33" s="20">
        <v>1120</v>
      </c>
      <c r="P33" s="20">
        <v>1120</v>
      </c>
      <c r="Q33" s="20">
        <v>1120</v>
      </c>
      <c r="R33" s="20">
        <v>1120</v>
      </c>
      <c r="S33" s="20">
        <v>1120</v>
      </c>
      <c r="T33" s="20">
        <v>1120</v>
      </c>
      <c r="U33" s="20">
        <v>1120</v>
      </c>
      <c r="V33" s="20">
        <v>1120</v>
      </c>
      <c r="W33" s="20">
        <v>1120</v>
      </c>
      <c r="X33" s="20">
        <v>1120</v>
      </c>
      <c r="Y33" s="20">
        <v>1120</v>
      </c>
      <c r="Z33" s="20">
        <v>1120</v>
      </c>
      <c r="AA33" s="20">
        <v>1120</v>
      </c>
      <c r="AB33" s="20">
        <v>1120</v>
      </c>
      <c r="AC33" s="20">
        <v>1120</v>
      </c>
      <c r="AD33" s="20">
        <v>1120</v>
      </c>
      <c r="AE33" s="21"/>
      <c r="AF33" s="20">
        <v>1008</v>
      </c>
      <c r="AG33" s="20">
        <v>1176</v>
      </c>
      <c r="AH33" s="20">
        <v>1052.8</v>
      </c>
      <c r="AI33" s="20">
        <v>1198.4</v>
      </c>
      <c r="AJ33" s="20">
        <v>1030.4</v>
      </c>
      <c r="AK33" s="20">
        <v>1220.8</v>
      </c>
      <c r="AL33" s="20">
        <v>1008</v>
      </c>
      <c r="AM33" s="20">
        <v>1176</v>
      </c>
      <c r="AN33" s="20">
        <v>1052.8</v>
      </c>
      <c r="AO33" s="20">
        <v>1198.4</v>
      </c>
      <c r="AP33" s="20">
        <v>1030.4</v>
      </c>
      <c r="AQ33" s="20">
        <v>1220.8</v>
      </c>
      <c r="AR33" s="20">
        <v>1008</v>
      </c>
      <c r="AS33" s="20">
        <v>1176</v>
      </c>
      <c r="AT33" s="20">
        <v>1052.8</v>
      </c>
      <c r="AU33" s="20">
        <v>1198.4</v>
      </c>
      <c r="AV33" s="20">
        <v>1030.4</v>
      </c>
      <c r="AW33" s="20">
        <v>1220.8</v>
      </c>
      <c r="AX33" s="20">
        <v>1008</v>
      </c>
      <c r="AY33" s="20">
        <v>1176</v>
      </c>
      <c r="AZ33" s="20">
        <v>1052.8</v>
      </c>
      <c r="BA33" s="20">
        <v>1198.4</v>
      </c>
      <c r="BB33" s="20">
        <v>1030.4</v>
      </c>
      <c r="BC33" s="20">
        <v>1220.8</v>
      </c>
    </row>
    <row r="34" ht="15" customHeight="1">
      <c r="A34" s="19" t="s">
        <v>184</v>
      </c>
      <c r="B34" s="19" t="s">
        <v>185</v>
      </c>
      <c r="C34" s="19" t="s">
        <v>186</v>
      </c>
      <c r="D34" s="19">
        <v>1530</v>
      </c>
      <c r="E34" s="19" t="s">
        <v>190</v>
      </c>
      <c r="F34" s="19" t="s">
        <v>39</v>
      </c>
      <c r="G34" s="20">
        <v>940</v>
      </c>
      <c r="H34" s="20">
        <v>895</v>
      </c>
      <c r="I34" s="20">
        <v>850</v>
      </c>
      <c r="J34" s="20">
        <v>805</v>
      </c>
      <c r="K34" s="20">
        <v>760</v>
      </c>
      <c r="L34" s="20">
        <v>715</v>
      </c>
      <c r="M34" s="20">
        <v>670</v>
      </c>
      <c r="N34" s="20">
        <v>625</v>
      </c>
      <c r="O34" s="20">
        <v>580</v>
      </c>
      <c r="P34" s="20">
        <v>535</v>
      </c>
      <c r="Q34" s="20">
        <v>490</v>
      </c>
      <c r="R34" s="20">
        <v>445</v>
      </c>
      <c r="S34" s="20">
        <v>400</v>
      </c>
      <c r="T34" s="20">
        <v>355</v>
      </c>
      <c r="U34" s="20">
        <v>310</v>
      </c>
      <c r="V34" s="20">
        <v>265</v>
      </c>
      <c r="W34" s="20">
        <v>220</v>
      </c>
      <c r="X34" s="20">
        <v>175</v>
      </c>
      <c r="Y34" s="20">
        <v>130</v>
      </c>
      <c r="Z34" s="20">
        <v>85</v>
      </c>
      <c r="AA34" s="20">
        <v>40</v>
      </c>
      <c r="AB34" s="20">
        <v>-5</v>
      </c>
      <c r="AC34" s="20">
        <v>-50</v>
      </c>
      <c r="AD34" s="20">
        <v>-95</v>
      </c>
      <c r="AE34" s="21"/>
      <c r="AF34" s="20">
        <v>893</v>
      </c>
      <c r="AG34" s="20">
        <v>948.7</v>
      </c>
      <c r="AH34" s="20">
        <v>790.5</v>
      </c>
      <c r="AI34" s="20">
        <v>869.4</v>
      </c>
      <c r="AJ34" s="20">
        <v>691.6</v>
      </c>
      <c r="AK34" s="20">
        <v>786.5</v>
      </c>
      <c r="AL34" s="20">
        <v>636.5</v>
      </c>
      <c r="AM34" s="20">
        <v>662.5</v>
      </c>
      <c r="AN34" s="20">
        <v>539.4</v>
      </c>
      <c r="AO34" s="20">
        <v>577.8</v>
      </c>
      <c r="AP34" s="20">
        <v>445.9</v>
      </c>
      <c r="AQ34" s="20">
        <v>489.5</v>
      </c>
      <c r="AR34" s="20">
        <v>380</v>
      </c>
      <c r="AS34" s="20">
        <v>376.3</v>
      </c>
      <c r="AT34" s="20">
        <v>288.3</v>
      </c>
      <c r="AU34" s="20">
        <v>286.2</v>
      </c>
      <c r="AV34" s="20">
        <v>200.2</v>
      </c>
      <c r="AW34" s="20">
        <v>192.5</v>
      </c>
      <c r="AX34" s="20">
        <v>123.5</v>
      </c>
      <c r="AY34" s="20">
        <v>90.1</v>
      </c>
      <c r="AZ34" s="20">
        <v>37.2</v>
      </c>
      <c r="BA34" s="20">
        <v>-5.4</v>
      </c>
      <c r="BB34" s="20">
        <v>-45.5</v>
      </c>
      <c r="BC34" s="20">
        <v>-104.5</v>
      </c>
    </row>
    <row r="35" ht="15" customHeight="1">
      <c r="A35" s="22" t="s">
        <v>184</v>
      </c>
      <c r="B35" s="22" t="s">
        <v>185</v>
      </c>
      <c r="C35" s="22" t="s">
        <v>42</v>
      </c>
      <c r="D35" s="22" t="s">
        <v>43</v>
      </c>
      <c r="E35" s="22" t="s">
        <v>191</v>
      </c>
      <c r="F35" s="22" t="s">
        <v>39</v>
      </c>
      <c r="G35" s="23">
        <f t="shared" si="1"/>
        <v>6760</v>
      </c>
      <c r="H35" s="23">
        <f t="shared" si="1"/>
        <v>7187.6</v>
      </c>
      <c r="I35" s="23">
        <f t="shared" si="1"/>
        <v>7551.3</v>
      </c>
      <c r="J35" s="23">
        <f t="shared" si="1"/>
        <v>7802.6</v>
      </c>
      <c r="K35" s="23">
        <f t="shared" si="1"/>
        <v>7920.5</v>
      </c>
      <c r="L35" s="23">
        <f t="shared" si="1"/>
        <v>7916.8</v>
      </c>
      <c r="M35" s="23">
        <f t="shared" si="1"/>
        <v>7833.3</v>
      </c>
      <c r="N35" s="23">
        <f t="shared" si="1"/>
        <v>7731.8</v>
      </c>
      <c r="O35" s="23">
        <f t="shared" si="1"/>
        <v>7678.4</v>
      </c>
      <c r="P35" s="23">
        <f t="shared" si="1"/>
        <v>7727.9</v>
      </c>
      <c r="Q35" s="23">
        <f t="shared" si="1"/>
        <v>7909.9</v>
      </c>
      <c r="R35" s="23">
        <f t="shared" si="1"/>
        <v>8222.2</v>
      </c>
      <c r="S35" s="23">
        <f t="shared" si="1"/>
        <v>8630.3</v>
      </c>
      <c r="T35" s="23">
        <f t="shared" si="1"/>
        <v>9077.2</v>
      </c>
      <c r="U35" s="23">
        <f t="shared" si="1"/>
        <v>9496.1</v>
      </c>
      <c r="V35" s="23">
        <f t="shared" si="1"/>
        <v>9827.6</v>
      </c>
      <c r="W35" s="23">
        <f t="shared" si="1"/>
        <v>10033.9</v>
      </c>
      <c r="X35" s="23">
        <f t="shared" si="1"/>
        <v>10108.2</v>
      </c>
      <c r="Y35" s="23">
        <f t="shared" si="1"/>
        <v>10076</v>
      </c>
      <c r="Z35" s="23">
        <f t="shared" si="1"/>
        <v>9989.4</v>
      </c>
      <c r="AA35" s="23">
        <f t="shared" si="1"/>
        <v>9914.2</v>
      </c>
      <c r="AB35" s="23">
        <f t="shared" si="1"/>
        <v>9913.5</v>
      </c>
      <c r="AC35" s="23">
        <f t="shared" si="1"/>
        <v>10032.4</v>
      </c>
      <c r="AD35" s="23">
        <f t="shared" si="1"/>
        <v>10287.3</v>
      </c>
      <c r="AE35" s="24"/>
      <c r="AF35" s="23">
        <f t="shared" si="1"/>
        <v>6206.5</v>
      </c>
      <c r="AG35" s="23">
        <f t="shared" si="1"/>
        <v>7781.6</v>
      </c>
      <c r="AH35" s="23">
        <f t="shared" si="1"/>
        <v>6962.9</v>
      </c>
      <c r="AI35" s="23">
        <f t="shared" si="1"/>
        <v>8259.1</v>
      </c>
      <c r="AJ35" s="23">
        <f t="shared" si="1"/>
        <v>7379.9</v>
      </c>
      <c r="AK35" s="23">
        <f t="shared" si="1"/>
        <v>8535.3</v>
      </c>
      <c r="AL35" s="23">
        <f t="shared" si="1"/>
        <v>7183.4</v>
      </c>
      <c r="AM35" s="23">
        <f t="shared" si="1"/>
        <v>8385.5</v>
      </c>
      <c r="AN35" s="23">
        <f t="shared" si="1"/>
        <v>7082</v>
      </c>
      <c r="AO35" s="23">
        <f t="shared" si="1"/>
        <v>8175</v>
      </c>
      <c r="AP35" s="23">
        <f t="shared" si="1"/>
        <v>7375.4</v>
      </c>
      <c r="AQ35" s="23">
        <f t="shared" si="1"/>
        <v>8856.7</v>
      </c>
      <c r="AR35" s="23">
        <f t="shared" si="1"/>
        <v>7905.7</v>
      </c>
      <c r="AS35" s="23">
        <f t="shared" si="1"/>
        <v>9862.9</v>
      </c>
      <c r="AT35" s="23">
        <f t="shared" si="1"/>
        <v>8724.3</v>
      </c>
      <c r="AU35" s="23">
        <f t="shared" si="1"/>
        <v>10374.6</v>
      </c>
      <c r="AV35" s="23">
        <f t="shared" si="1"/>
        <v>9377.1</v>
      </c>
      <c r="AW35" s="23">
        <f t="shared" si="1"/>
        <v>10869.7</v>
      </c>
      <c r="AX35" s="23">
        <f t="shared" si="1"/>
        <v>9224.4</v>
      </c>
      <c r="AY35" s="23">
        <f t="shared" si="1"/>
        <v>10868.5</v>
      </c>
      <c r="AZ35" s="23">
        <f t="shared" si="1"/>
        <v>9108.9</v>
      </c>
      <c r="BA35" s="23">
        <f t="shared" si="1"/>
        <v>10460</v>
      </c>
      <c r="BB35" s="23">
        <f t="shared" si="1"/>
        <v>9380.3</v>
      </c>
      <c r="BC35" s="23">
        <f t="shared" si="1"/>
        <v>11056.8</v>
      </c>
    </row>
    <row r="36" ht="15" customHeight="1">
      <c r="A36" s="19" t="s">
        <v>45</v>
      </c>
      <c r="B36" s="19" t="s">
        <v>45</v>
      </c>
      <c r="C36" s="19" t="s">
        <v>45</v>
      </c>
      <c r="D36" s="19" t="s">
        <v>45</v>
      </c>
      <c r="E36" s="19" t="s">
        <v>45</v>
      </c>
      <c r="F36" s="19" t="s">
        <v>45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1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</row>
    <row r="37" ht="15" customHeight="1">
      <c r="A37" s="19" t="s">
        <v>35</v>
      </c>
      <c r="B37" s="19" t="s">
        <v>192</v>
      </c>
      <c r="C37" s="19" t="s">
        <v>193</v>
      </c>
      <c r="D37" s="19">
        <v>2000</v>
      </c>
      <c r="E37" s="19" t="s">
        <v>194</v>
      </c>
      <c r="F37" s="19" t="s">
        <v>39</v>
      </c>
      <c r="G37" s="20">
        <v>-3480</v>
      </c>
      <c r="H37" s="20">
        <v>-3539.2</v>
      </c>
      <c r="I37" s="20">
        <v>-3599.3</v>
      </c>
      <c r="J37" s="20">
        <v>-3660.5</v>
      </c>
      <c r="K37" s="20">
        <v>-3722.7</v>
      </c>
      <c r="L37" s="20">
        <v>-3786</v>
      </c>
      <c r="M37" s="20">
        <v>-3850.4</v>
      </c>
      <c r="N37" s="20">
        <v>-3915.8</v>
      </c>
      <c r="O37" s="20">
        <v>-3982.4</v>
      </c>
      <c r="P37" s="20">
        <v>-4050.1</v>
      </c>
      <c r="Q37" s="20">
        <v>-4119</v>
      </c>
      <c r="R37" s="20">
        <v>-4189</v>
      </c>
      <c r="S37" s="20">
        <v>-4260.2</v>
      </c>
      <c r="T37" s="20">
        <v>-4332.6</v>
      </c>
      <c r="U37" s="20">
        <v>-4406.3</v>
      </c>
      <c r="V37" s="20">
        <v>-4481.2</v>
      </c>
      <c r="W37" s="20">
        <v>-4557.4</v>
      </c>
      <c r="X37" s="20">
        <v>-4634.8</v>
      </c>
      <c r="Y37" s="20">
        <v>-4713.6</v>
      </c>
      <c r="Z37" s="20">
        <v>-4793.8</v>
      </c>
      <c r="AA37" s="20">
        <v>-4875.3</v>
      </c>
      <c r="AB37" s="20">
        <v>-4958.1</v>
      </c>
      <c r="AC37" s="20">
        <v>-5042.4</v>
      </c>
      <c r="AD37" s="20">
        <v>-5128.2</v>
      </c>
      <c r="AE37" s="21"/>
      <c r="AF37" s="20">
        <v>-3201.6</v>
      </c>
      <c r="AG37" s="20">
        <v>-3857.7</v>
      </c>
      <c r="AH37" s="20">
        <v>-3239.4</v>
      </c>
      <c r="AI37" s="20">
        <v>-3843.5</v>
      </c>
      <c r="AJ37" s="20">
        <v>-3499.4</v>
      </c>
      <c r="AK37" s="20">
        <v>-4051.1</v>
      </c>
      <c r="AL37" s="20">
        <v>-3542.4</v>
      </c>
      <c r="AM37" s="20">
        <v>-4268.3</v>
      </c>
      <c r="AN37" s="20">
        <v>-3584.2</v>
      </c>
      <c r="AO37" s="20">
        <v>-4252.6</v>
      </c>
      <c r="AP37" s="20">
        <v>-3871.8</v>
      </c>
      <c r="AQ37" s="20">
        <v>-4482.2</v>
      </c>
      <c r="AR37" s="20">
        <v>-3919.4</v>
      </c>
      <c r="AS37" s="20">
        <v>-4722.6</v>
      </c>
      <c r="AT37" s="20">
        <v>-3965.7</v>
      </c>
      <c r="AU37" s="20">
        <v>-4705.3</v>
      </c>
      <c r="AV37" s="20">
        <v>-4283.9</v>
      </c>
      <c r="AW37" s="20">
        <v>-4959.3</v>
      </c>
      <c r="AX37" s="20">
        <v>-4336.5</v>
      </c>
      <c r="AY37" s="20">
        <v>-5225.2</v>
      </c>
      <c r="AZ37" s="20">
        <v>-4387.7</v>
      </c>
      <c r="BA37" s="20">
        <v>-5206.1</v>
      </c>
      <c r="BB37" s="20">
        <v>-4739.9</v>
      </c>
      <c r="BC37" s="20">
        <v>-5487.1</v>
      </c>
    </row>
    <row r="38" ht="15" customHeight="1">
      <c r="A38" s="19" t="s">
        <v>35</v>
      </c>
      <c r="B38" s="19" t="s">
        <v>192</v>
      </c>
      <c r="C38" s="19" t="s">
        <v>193</v>
      </c>
      <c r="D38" s="19">
        <v>2010</v>
      </c>
      <c r="E38" s="19" t="s">
        <v>195</v>
      </c>
      <c r="F38" s="19" t="s">
        <v>39</v>
      </c>
      <c r="G38" s="20">
        <v>-1280</v>
      </c>
      <c r="H38" s="20">
        <v>-1301.8</v>
      </c>
      <c r="I38" s="20">
        <v>-1323.9</v>
      </c>
      <c r="J38" s="20">
        <v>-1346.4</v>
      </c>
      <c r="K38" s="20">
        <v>-1369.3</v>
      </c>
      <c r="L38" s="20">
        <v>-1392.6</v>
      </c>
      <c r="M38" s="20">
        <v>-1416.2</v>
      </c>
      <c r="N38" s="20">
        <v>-1440.3</v>
      </c>
      <c r="O38" s="20">
        <v>-1464.8</v>
      </c>
      <c r="P38" s="20">
        <v>-1489.7</v>
      </c>
      <c r="Q38" s="20">
        <v>-1515</v>
      </c>
      <c r="R38" s="20">
        <v>-1540.8</v>
      </c>
      <c r="S38" s="20">
        <v>-1567</v>
      </c>
      <c r="T38" s="20">
        <v>-1593.6</v>
      </c>
      <c r="U38" s="20">
        <v>-1620.7</v>
      </c>
      <c r="V38" s="20">
        <v>-1648.3</v>
      </c>
      <c r="W38" s="20">
        <v>-1676.3</v>
      </c>
      <c r="X38" s="20">
        <v>-1704.8</v>
      </c>
      <c r="Y38" s="20">
        <v>-1733.8</v>
      </c>
      <c r="Z38" s="20">
        <v>-1763.2</v>
      </c>
      <c r="AA38" s="20">
        <v>-1793.2</v>
      </c>
      <c r="AB38" s="20">
        <v>-1823.7</v>
      </c>
      <c r="AC38" s="20">
        <v>-1854.7</v>
      </c>
      <c r="AD38" s="20">
        <v>-1886.2</v>
      </c>
      <c r="AE38" s="21"/>
      <c r="AF38" s="20">
        <v>-1164.8</v>
      </c>
      <c r="AG38" s="20">
        <v>-1431.9</v>
      </c>
      <c r="AH38" s="20">
        <v>-1257.7</v>
      </c>
      <c r="AI38" s="20">
        <v>-1427.2</v>
      </c>
      <c r="AJ38" s="20">
        <v>-1273.4</v>
      </c>
      <c r="AK38" s="20">
        <v>-1504</v>
      </c>
      <c r="AL38" s="20">
        <v>-1288.8</v>
      </c>
      <c r="AM38" s="20">
        <v>-1584.3</v>
      </c>
      <c r="AN38" s="20">
        <v>-1391.6</v>
      </c>
      <c r="AO38" s="20">
        <v>-1579.1</v>
      </c>
      <c r="AP38" s="20">
        <v>-1409</v>
      </c>
      <c r="AQ38" s="20">
        <v>-1664</v>
      </c>
      <c r="AR38" s="20">
        <v>-1425.9</v>
      </c>
      <c r="AS38" s="20">
        <v>-1753</v>
      </c>
      <c r="AT38" s="20">
        <v>-1539.7</v>
      </c>
      <c r="AU38" s="20">
        <v>-1747.1</v>
      </c>
      <c r="AV38" s="20">
        <v>-1558.9</v>
      </c>
      <c r="AW38" s="20">
        <v>-1841.2</v>
      </c>
      <c r="AX38" s="20">
        <v>-1577.7</v>
      </c>
      <c r="AY38" s="20">
        <v>-1939.5</v>
      </c>
      <c r="AZ38" s="20">
        <v>-1703.5</v>
      </c>
      <c r="BA38" s="20">
        <v>-1933.1</v>
      </c>
      <c r="BB38" s="20">
        <v>-1724.9</v>
      </c>
      <c r="BC38" s="20">
        <v>-2037.1</v>
      </c>
    </row>
    <row r="39" ht="15" customHeight="1">
      <c r="A39" s="19" t="s">
        <v>35</v>
      </c>
      <c r="B39" s="19" t="s">
        <v>192</v>
      </c>
      <c r="C39" s="19" t="s">
        <v>193</v>
      </c>
      <c r="D39" s="19">
        <v>2020</v>
      </c>
      <c r="E39" s="19" t="s">
        <v>196</v>
      </c>
      <c r="F39" s="19" t="s">
        <v>39</v>
      </c>
      <c r="G39" s="20">
        <v>-2380</v>
      </c>
      <c r="H39" s="20">
        <v>-2420.5</v>
      </c>
      <c r="I39" s="20">
        <v>-2461.6</v>
      </c>
      <c r="J39" s="20">
        <v>-2503.5</v>
      </c>
      <c r="K39" s="20">
        <v>-2546</v>
      </c>
      <c r="L39" s="20">
        <v>-2589.3</v>
      </c>
      <c r="M39" s="20">
        <v>-2633.3</v>
      </c>
      <c r="N39" s="20">
        <v>-2678.1</v>
      </c>
      <c r="O39" s="20">
        <v>-2723.6</v>
      </c>
      <c r="P39" s="20">
        <v>-2769.9</v>
      </c>
      <c r="Q39" s="20">
        <v>-2817</v>
      </c>
      <c r="R39" s="20">
        <v>-2864.9</v>
      </c>
      <c r="S39" s="20">
        <v>-2913.6</v>
      </c>
      <c r="T39" s="20">
        <v>-2963.1</v>
      </c>
      <c r="U39" s="20">
        <v>-3013.5</v>
      </c>
      <c r="V39" s="20">
        <v>-3064.7</v>
      </c>
      <c r="W39" s="20">
        <v>-3116.8</v>
      </c>
      <c r="X39" s="20">
        <v>-3169.8</v>
      </c>
      <c r="Y39" s="20">
        <v>-3223.7</v>
      </c>
      <c r="Z39" s="20">
        <v>-3278.5</v>
      </c>
      <c r="AA39" s="20">
        <v>-3334.2</v>
      </c>
      <c r="AB39" s="20">
        <v>-3390.9</v>
      </c>
      <c r="AC39" s="20">
        <v>-3448.6</v>
      </c>
      <c r="AD39" s="20">
        <v>-3507.2</v>
      </c>
      <c r="AE39" s="21"/>
      <c r="AF39" s="20">
        <v>-2142</v>
      </c>
      <c r="AG39" s="20">
        <v>-2541.5</v>
      </c>
      <c r="AH39" s="20">
        <v>-2313.9</v>
      </c>
      <c r="AI39" s="20">
        <v>-2678.7</v>
      </c>
      <c r="AJ39" s="20">
        <v>-2342.3</v>
      </c>
      <c r="AK39" s="20">
        <v>-2822.3</v>
      </c>
      <c r="AL39" s="20">
        <v>-2370</v>
      </c>
      <c r="AM39" s="20">
        <v>-2812</v>
      </c>
      <c r="AN39" s="20">
        <v>-2560.2</v>
      </c>
      <c r="AO39" s="20">
        <v>-2963.8</v>
      </c>
      <c r="AP39" s="20">
        <v>-2591.6</v>
      </c>
      <c r="AQ39" s="20">
        <v>-3122.7</v>
      </c>
      <c r="AR39" s="20">
        <v>-2622.2</v>
      </c>
      <c r="AS39" s="20">
        <v>-3111.3</v>
      </c>
      <c r="AT39" s="20">
        <v>-2832.7</v>
      </c>
      <c r="AU39" s="20">
        <v>-3279.3</v>
      </c>
      <c r="AV39" s="20">
        <v>-2867.5</v>
      </c>
      <c r="AW39" s="20">
        <v>-3455.1</v>
      </c>
      <c r="AX39" s="20">
        <v>-2901.3</v>
      </c>
      <c r="AY39" s="20">
        <v>-3442.4</v>
      </c>
      <c r="AZ39" s="20">
        <v>-3134.2</v>
      </c>
      <c r="BA39" s="20">
        <v>-3628.3</v>
      </c>
      <c r="BB39" s="20">
        <v>-3172.7</v>
      </c>
      <c r="BC39" s="20">
        <v>-3822.8</v>
      </c>
    </row>
    <row r="40" ht="15" customHeight="1">
      <c r="A40" s="19" t="s">
        <v>35</v>
      </c>
      <c r="B40" s="19" t="s">
        <v>192</v>
      </c>
      <c r="C40" s="19" t="s">
        <v>193</v>
      </c>
      <c r="D40" s="19">
        <v>2030</v>
      </c>
      <c r="E40" s="19" t="s">
        <v>197</v>
      </c>
      <c r="F40" s="19" t="s">
        <v>39</v>
      </c>
      <c r="G40" s="20">
        <v>-620</v>
      </c>
      <c r="H40" s="20">
        <v>-630.5</v>
      </c>
      <c r="I40" s="20">
        <v>-641.3</v>
      </c>
      <c r="J40" s="20">
        <v>-652.2</v>
      </c>
      <c r="K40" s="20">
        <v>-663.2</v>
      </c>
      <c r="L40" s="20">
        <v>-674.5</v>
      </c>
      <c r="M40" s="20">
        <v>-686</v>
      </c>
      <c r="N40" s="20">
        <v>-697.7</v>
      </c>
      <c r="O40" s="20">
        <v>-709.5</v>
      </c>
      <c r="P40" s="20">
        <v>-721.6</v>
      </c>
      <c r="Q40" s="20">
        <v>-733.8</v>
      </c>
      <c r="R40" s="20">
        <v>-746.3</v>
      </c>
      <c r="S40" s="20">
        <v>-759</v>
      </c>
      <c r="T40" s="20">
        <v>-771.9</v>
      </c>
      <c r="U40" s="20">
        <v>-785</v>
      </c>
      <c r="V40" s="20">
        <v>-798.4</v>
      </c>
      <c r="W40" s="20">
        <v>-811.9</v>
      </c>
      <c r="X40" s="20">
        <v>-825.7</v>
      </c>
      <c r="Y40" s="20">
        <v>-839.8</v>
      </c>
      <c r="Z40" s="20">
        <v>-854.1</v>
      </c>
      <c r="AA40" s="20">
        <v>-868.6</v>
      </c>
      <c r="AB40" s="20">
        <v>-883.3</v>
      </c>
      <c r="AC40" s="20">
        <v>-898.4</v>
      </c>
      <c r="AD40" s="20">
        <v>-913.6</v>
      </c>
      <c r="AE40" s="21"/>
      <c r="AF40" s="20">
        <v>-589</v>
      </c>
      <c r="AG40" s="20">
        <v>-668.4</v>
      </c>
      <c r="AH40" s="20">
        <v>-596.4</v>
      </c>
      <c r="AI40" s="20">
        <v>-704.3</v>
      </c>
      <c r="AJ40" s="20">
        <v>-603.6</v>
      </c>
      <c r="AK40" s="20">
        <v>-742</v>
      </c>
      <c r="AL40" s="20">
        <v>-651.7</v>
      </c>
      <c r="AM40" s="20">
        <v>-739.5</v>
      </c>
      <c r="AN40" s="20">
        <v>-659.8</v>
      </c>
      <c r="AO40" s="20">
        <v>-779.3</v>
      </c>
      <c r="AP40" s="20">
        <v>-667.8</v>
      </c>
      <c r="AQ40" s="20">
        <v>-820.9</v>
      </c>
      <c r="AR40" s="20">
        <v>-721.1</v>
      </c>
      <c r="AS40" s="20">
        <v>-818.2</v>
      </c>
      <c r="AT40" s="20">
        <v>-730.1</v>
      </c>
      <c r="AU40" s="20">
        <v>-862.2</v>
      </c>
      <c r="AV40" s="20">
        <v>-738.9</v>
      </c>
      <c r="AW40" s="20">
        <v>-908.3</v>
      </c>
      <c r="AX40" s="20">
        <v>-797.8</v>
      </c>
      <c r="AY40" s="20">
        <v>-905.3</v>
      </c>
      <c r="AZ40" s="20">
        <v>-807.8</v>
      </c>
      <c r="BA40" s="20">
        <v>-954</v>
      </c>
      <c r="BB40" s="20">
        <v>-817.5</v>
      </c>
      <c r="BC40" s="20">
        <v>-1005</v>
      </c>
    </row>
    <row r="41" ht="15" customHeight="1">
      <c r="A41" s="19" t="s">
        <v>35</v>
      </c>
      <c r="B41" s="19" t="s">
        <v>192</v>
      </c>
      <c r="C41" s="19" t="s">
        <v>193</v>
      </c>
      <c r="D41" s="19">
        <v>2040</v>
      </c>
      <c r="E41" s="19" t="s">
        <v>198</v>
      </c>
      <c r="F41" s="19" t="s">
        <v>39</v>
      </c>
      <c r="G41" s="20">
        <v>-7850</v>
      </c>
      <c r="H41" s="20">
        <v>-7983.4</v>
      </c>
      <c r="I41" s="20">
        <v>-8119.2</v>
      </c>
      <c r="J41" s="20">
        <v>-8257.2</v>
      </c>
      <c r="K41" s="20">
        <v>-8397.6</v>
      </c>
      <c r="L41" s="20">
        <v>-8540.3</v>
      </c>
      <c r="M41" s="20">
        <v>-8685.5</v>
      </c>
      <c r="N41" s="20">
        <v>-8833.2</v>
      </c>
      <c r="O41" s="20">
        <v>-8983.3</v>
      </c>
      <c r="P41" s="20">
        <v>-9136</v>
      </c>
      <c r="Q41" s="20">
        <v>-9291.4</v>
      </c>
      <c r="R41" s="20">
        <v>-9449.3</v>
      </c>
      <c r="S41" s="20">
        <v>-9609.9</v>
      </c>
      <c r="T41" s="20">
        <v>-9773.3</v>
      </c>
      <c r="U41" s="20">
        <v>-9939.5</v>
      </c>
      <c r="V41" s="20">
        <v>-10108.4</v>
      </c>
      <c r="W41" s="20">
        <v>-10280.3</v>
      </c>
      <c r="X41" s="20">
        <v>-10455</v>
      </c>
      <c r="Y41" s="20">
        <v>-10632.8</v>
      </c>
      <c r="Z41" s="20">
        <v>-10813.5</v>
      </c>
      <c r="AA41" s="20">
        <v>-10997.4</v>
      </c>
      <c r="AB41" s="20">
        <v>-11184.3</v>
      </c>
      <c r="AC41" s="20">
        <v>-11374.5</v>
      </c>
      <c r="AD41" s="20">
        <v>-11567.8</v>
      </c>
      <c r="AE41" s="21"/>
      <c r="AF41" s="20">
        <v>-7379</v>
      </c>
      <c r="AG41" s="20">
        <v>-8542.3</v>
      </c>
      <c r="AH41" s="20">
        <v>-7469.6</v>
      </c>
      <c r="AI41" s="20">
        <v>-9000.3</v>
      </c>
      <c r="AJ41" s="20">
        <v>-7557.8</v>
      </c>
      <c r="AK41" s="20">
        <v>-8967.3</v>
      </c>
      <c r="AL41" s="20">
        <v>-8164.4</v>
      </c>
      <c r="AM41" s="20">
        <v>-9451.5</v>
      </c>
      <c r="AN41" s="20">
        <v>-8264.7</v>
      </c>
      <c r="AO41" s="20">
        <v>-9958.3</v>
      </c>
      <c r="AP41" s="20">
        <v>-8362.2</v>
      </c>
      <c r="AQ41" s="20">
        <v>-9921.8</v>
      </c>
      <c r="AR41" s="20">
        <v>-9033.4</v>
      </c>
      <c r="AS41" s="20">
        <v>-10457.5</v>
      </c>
      <c r="AT41" s="20">
        <v>-9144.3</v>
      </c>
      <c r="AU41" s="20">
        <v>-11018.2</v>
      </c>
      <c r="AV41" s="20">
        <v>-9252.3</v>
      </c>
      <c r="AW41" s="20">
        <v>-10977.8</v>
      </c>
      <c r="AX41" s="20">
        <v>-9994.8</v>
      </c>
      <c r="AY41" s="20">
        <v>-11570.5</v>
      </c>
      <c r="AZ41" s="20">
        <v>-10117.6</v>
      </c>
      <c r="BA41" s="20">
        <v>-12190.9</v>
      </c>
      <c r="BB41" s="20">
        <v>-10237</v>
      </c>
      <c r="BC41" s="20">
        <v>-12146.2</v>
      </c>
    </row>
    <row r="42" ht="15" customHeight="1">
      <c r="A42" s="19" t="s">
        <v>35</v>
      </c>
      <c r="B42" s="19" t="s">
        <v>192</v>
      </c>
      <c r="C42" s="19" t="s">
        <v>193</v>
      </c>
      <c r="D42" s="19">
        <v>2050</v>
      </c>
      <c r="E42" s="19" t="s">
        <v>199</v>
      </c>
      <c r="F42" s="19" t="s">
        <v>39</v>
      </c>
      <c r="G42" s="20">
        <v>-940</v>
      </c>
      <c r="H42" s="20">
        <v>-956</v>
      </c>
      <c r="I42" s="20">
        <v>-972.2</v>
      </c>
      <c r="J42" s="20">
        <v>-988.8</v>
      </c>
      <c r="K42" s="20">
        <v>-1005.6</v>
      </c>
      <c r="L42" s="20">
        <v>-1022.7</v>
      </c>
      <c r="M42" s="20">
        <v>-1040</v>
      </c>
      <c r="N42" s="20">
        <v>-1057.7</v>
      </c>
      <c r="O42" s="20">
        <v>-1075.7</v>
      </c>
      <c r="P42" s="20">
        <v>-1094</v>
      </c>
      <c r="Q42" s="20">
        <v>-1112.6</v>
      </c>
      <c r="R42" s="20">
        <v>-1131.5</v>
      </c>
      <c r="S42" s="20">
        <v>-1150.7</v>
      </c>
      <c r="T42" s="20">
        <v>-1170.3</v>
      </c>
      <c r="U42" s="20">
        <v>-1190.2</v>
      </c>
      <c r="V42" s="20">
        <v>-1210.4</v>
      </c>
      <c r="W42" s="20">
        <v>-1231</v>
      </c>
      <c r="X42" s="20">
        <v>-1251.9</v>
      </c>
      <c r="Y42" s="20">
        <v>-1273.2</v>
      </c>
      <c r="Z42" s="20">
        <v>-1294.9</v>
      </c>
      <c r="AA42" s="20">
        <v>-1316.9</v>
      </c>
      <c r="AB42" s="20">
        <v>-1339.3</v>
      </c>
      <c r="AC42" s="20">
        <v>-1362</v>
      </c>
      <c r="AD42" s="20">
        <v>-1385.2</v>
      </c>
      <c r="AE42" s="21"/>
      <c r="AF42" s="20">
        <v>-874.2</v>
      </c>
      <c r="AG42" s="20">
        <v>-1032.5</v>
      </c>
      <c r="AH42" s="20">
        <v>-884.7</v>
      </c>
      <c r="AI42" s="20">
        <v>-1087.6</v>
      </c>
      <c r="AJ42" s="20">
        <v>-955.3</v>
      </c>
      <c r="AK42" s="20">
        <v>-1084</v>
      </c>
      <c r="AL42" s="20">
        <v>-967.2</v>
      </c>
      <c r="AM42" s="20">
        <v>-1142.3</v>
      </c>
      <c r="AN42" s="20">
        <v>-978.9</v>
      </c>
      <c r="AO42" s="20">
        <v>-1203.4</v>
      </c>
      <c r="AP42" s="20">
        <v>-1057</v>
      </c>
      <c r="AQ42" s="20">
        <v>-1199.4</v>
      </c>
      <c r="AR42" s="20">
        <v>-1070.2</v>
      </c>
      <c r="AS42" s="20">
        <v>-1263.9</v>
      </c>
      <c r="AT42" s="20">
        <v>-1083.1</v>
      </c>
      <c r="AU42" s="20">
        <v>-1331.5</v>
      </c>
      <c r="AV42" s="20">
        <v>-1169.5</v>
      </c>
      <c r="AW42" s="20">
        <v>-1327.1</v>
      </c>
      <c r="AX42" s="20">
        <v>-1184.1</v>
      </c>
      <c r="AY42" s="20">
        <v>-1398.5</v>
      </c>
      <c r="AZ42" s="20">
        <v>-1198.4</v>
      </c>
      <c r="BA42" s="20">
        <v>-1473.2</v>
      </c>
      <c r="BB42" s="20">
        <v>-1293.9</v>
      </c>
      <c r="BC42" s="20">
        <v>-1468.3</v>
      </c>
    </row>
    <row r="43" ht="15" customHeight="1">
      <c r="A43" s="22" t="s">
        <v>35</v>
      </c>
      <c r="B43" s="22" t="s">
        <v>192</v>
      </c>
      <c r="C43" s="22" t="s">
        <v>42</v>
      </c>
      <c r="D43" s="22" t="s">
        <v>43</v>
      </c>
      <c r="E43" s="22" t="s">
        <v>200</v>
      </c>
      <c r="F43" s="22" t="s">
        <v>39</v>
      </c>
      <c r="G43" s="23">
        <f t="shared" si="3" ref="G43:BC72">SUM(G37:G42)</f>
        <v>-16550</v>
      </c>
      <c r="H43" s="23">
        <f t="shared" si="3"/>
        <v>-16831.4</v>
      </c>
      <c r="I43" s="23">
        <f t="shared" si="3"/>
        <v>-17117.5</v>
      </c>
      <c r="J43" s="23">
        <f t="shared" si="3"/>
        <v>-17408.6</v>
      </c>
      <c r="K43" s="23">
        <f t="shared" si="3"/>
        <v>-17704.4</v>
      </c>
      <c r="L43" s="23">
        <f t="shared" si="3"/>
        <v>-18005.4</v>
      </c>
      <c r="M43" s="23">
        <f t="shared" si="3"/>
        <v>-18311.4</v>
      </c>
      <c r="N43" s="23">
        <f t="shared" si="3"/>
        <v>-18622.8</v>
      </c>
      <c r="O43" s="23">
        <f t="shared" si="3"/>
        <v>-18939.3</v>
      </c>
      <c r="P43" s="23">
        <f t="shared" si="3"/>
        <v>-19261.3</v>
      </c>
      <c r="Q43" s="23">
        <f t="shared" si="3"/>
        <v>-19588.8</v>
      </c>
      <c r="R43" s="23">
        <f t="shared" si="3"/>
        <v>-19921.8</v>
      </c>
      <c r="S43" s="23">
        <f t="shared" si="3"/>
        <v>-20260.4</v>
      </c>
      <c r="T43" s="23">
        <f t="shared" si="3"/>
        <v>-20604.8</v>
      </c>
      <c r="U43" s="23">
        <f t="shared" si="3"/>
        <v>-20955.2</v>
      </c>
      <c r="V43" s="23">
        <f t="shared" si="3"/>
        <v>-21311.4</v>
      </c>
      <c r="W43" s="23">
        <f t="shared" si="3"/>
        <v>-21673.7</v>
      </c>
      <c r="X43" s="23">
        <f t="shared" si="3"/>
        <v>-22042</v>
      </c>
      <c r="Y43" s="23">
        <f t="shared" si="3"/>
        <v>-22416.9</v>
      </c>
      <c r="Z43" s="23">
        <f t="shared" si="3"/>
        <v>-22798</v>
      </c>
      <c r="AA43" s="23">
        <f t="shared" si="3"/>
        <v>-23185.6</v>
      </c>
      <c r="AB43" s="23">
        <f t="shared" si="3"/>
        <v>-23579.6</v>
      </c>
      <c r="AC43" s="23">
        <f t="shared" si="3"/>
        <v>-23980.6</v>
      </c>
      <c r="AD43" s="23">
        <f t="shared" si="3"/>
        <v>-24388.2</v>
      </c>
      <c r="AE43" s="24"/>
      <c r="AF43" s="23">
        <f t="shared" si="3"/>
        <v>-15350.6</v>
      </c>
      <c r="AG43" s="23">
        <f t="shared" si="3"/>
        <v>-18074.3</v>
      </c>
      <c r="AH43" s="23">
        <f t="shared" si="3"/>
        <v>-15761.7</v>
      </c>
      <c r="AI43" s="23">
        <f t="shared" si="3"/>
        <v>-18741.6</v>
      </c>
      <c r="AJ43" s="23">
        <f t="shared" si="3"/>
        <v>-16231.8</v>
      </c>
      <c r="AK43" s="23">
        <f t="shared" si="3"/>
        <v>-19170.7</v>
      </c>
      <c r="AL43" s="23">
        <f t="shared" si="3"/>
        <v>-16984.5</v>
      </c>
      <c r="AM43" s="23">
        <f t="shared" si="3"/>
        <v>-19997.9</v>
      </c>
      <c r="AN43" s="23">
        <f t="shared" si="3"/>
        <v>-17439.4</v>
      </c>
      <c r="AO43" s="23">
        <f t="shared" si="3"/>
        <v>-20736.5</v>
      </c>
      <c r="AP43" s="23">
        <f t="shared" si="3"/>
        <v>-17959.4</v>
      </c>
      <c r="AQ43" s="23">
        <f t="shared" si="3"/>
        <v>-21211</v>
      </c>
      <c r="AR43" s="23">
        <f t="shared" si="3"/>
        <v>-18792.2</v>
      </c>
      <c r="AS43" s="23">
        <f t="shared" si="3"/>
        <v>-22126.5</v>
      </c>
      <c r="AT43" s="23">
        <f t="shared" si="3"/>
        <v>-19295.6</v>
      </c>
      <c r="AU43" s="23">
        <f t="shared" si="3"/>
        <v>-22943.6</v>
      </c>
      <c r="AV43" s="23">
        <f t="shared" si="3"/>
        <v>-19871</v>
      </c>
      <c r="AW43" s="23">
        <f t="shared" si="3"/>
        <v>-23468.8</v>
      </c>
      <c r="AX43" s="23">
        <f t="shared" si="3"/>
        <v>-20792.2</v>
      </c>
      <c r="AY43" s="23">
        <f t="shared" si="3"/>
        <v>-24481.4</v>
      </c>
      <c r="AZ43" s="23">
        <f t="shared" si="3"/>
        <v>-21349.2</v>
      </c>
      <c r="BA43" s="23">
        <f t="shared" si="3"/>
        <v>-25385.6</v>
      </c>
      <c r="BB43" s="23">
        <f t="shared" si="3"/>
        <v>-21985.9</v>
      </c>
      <c r="BC43" s="23">
        <f t="shared" si="3"/>
        <v>-25966.5</v>
      </c>
    </row>
    <row r="44" ht="15" customHeight="1">
      <c r="A44" s="19" t="s">
        <v>45</v>
      </c>
      <c r="B44" s="19" t="s">
        <v>45</v>
      </c>
      <c r="C44" s="19" t="s">
        <v>45</v>
      </c>
      <c r="D44" s="19" t="s">
        <v>45</v>
      </c>
      <c r="E44" s="19" t="s">
        <v>45</v>
      </c>
      <c r="F44" s="19" t="s">
        <v>45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1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</row>
    <row r="45" ht="15" customHeight="1">
      <c r="A45" s="19" t="s">
        <v>35</v>
      </c>
      <c r="B45" s="19" t="s">
        <v>201</v>
      </c>
      <c r="C45" s="19" t="s">
        <v>124</v>
      </c>
      <c r="D45" s="19">
        <v>2100</v>
      </c>
      <c r="E45" s="19" t="s">
        <v>202</v>
      </c>
      <c r="F45" s="19" t="s">
        <v>39</v>
      </c>
      <c r="G45" s="20">
        <v>-520</v>
      </c>
      <c r="H45" s="20">
        <v>-524.2</v>
      </c>
      <c r="I45" s="20">
        <v>-528.4</v>
      </c>
      <c r="J45" s="20">
        <v>-532.6</v>
      </c>
      <c r="K45" s="20">
        <v>-536.8</v>
      </c>
      <c r="L45" s="20">
        <v>-541.1</v>
      </c>
      <c r="M45" s="20">
        <v>-545.5</v>
      </c>
      <c r="N45" s="20">
        <v>-549.8</v>
      </c>
      <c r="O45" s="20">
        <v>-554.2</v>
      </c>
      <c r="P45" s="20">
        <v>-558.7</v>
      </c>
      <c r="Q45" s="20">
        <v>-563.1</v>
      </c>
      <c r="R45" s="20">
        <v>-567.6</v>
      </c>
      <c r="S45" s="20">
        <v>-572.2</v>
      </c>
      <c r="T45" s="20">
        <v>-576.8</v>
      </c>
      <c r="U45" s="20">
        <v>-581.4</v>
      </c>
      <c r="V45" s="20">
        <v>-586</v>
      </c>
      <c r="W45" s="20">
        <v>-590.7</v>
      </c>
      <c r="X45" s="20">
        <v>-595.4</v>
      </c>
      <c r="Y45" s="20">
        <v>-600.2</v>
      </c>
      <c r="Z45" s="20">
        <v>-605</v>
      </c>
      <c r="AA45" s="20">
        <v>-609.8</v>
      </c>
      <c r="AB45" s="20">
        <v>-614.7</v>
      </c>
      <c r="AC45" s="20">
        <v>-619.6</v>
      </c>
      <c r="AD45" s="20">
        <v>-624.6</v>
      </c>
      <c r="AE45" s="21"/>
      <c r="AF45" s="20">
        <v>-468</v>
      </c>
      <c r="AG45" s="20">
        <v>-550.4</v>
      </c>
      <c r="AH45" s="20">
        <v>-496.7</v>
      </c>
      <c r="AI45" s="20">
        <v>-569.9</v>
      </c>
      <c r="AJ45" s="20">
        <v>-493.9</v>
      </c>
      <c r="AK45" s="20">
        <v>-589.8</v>
      </c>
      <c r="AL45" s="20">
        <v>-490.9</v>
      </c>
      <c r="AM45" s="20">
        <v>-577.3</v>
      </c>
      <c r="AN45" s="20">
        <v>-521</v>
      </c>
      <c r="AO45" s="20">
        <v>-597.8</v>
      </c>
      <c r="AP45" s="20">
        <v>-518.1</v>
      </c>
      <c r="AQ45" s="20">
        <v>-618.7</v>
      </c>
      <c r="AR45" s="20">
        <v>-515</v>
      </c>
      <c r="AS45" s="20">
        <v>-605.6</v>
      </c>
      <c r="AT45" s="20">
        <v>-546.5</v>
      </c>
      <c r="AU45" s="20">
        <v>-627</v>
      </c>
      <c r="AV45" s="20">
        <v>-543.5</v>
      </c>
      <c r="AW45" s="20">
        <v>-649</v>
      </c>
      <c r="AX45" s="20">
        <v>-540.2</v>
      </c>
      <c r="AY45" s="20">
        <v>-635.2</v>
      </c>
      <c r="AZ45" s="20">
        <v>-573.2</v>
      </c>
      <c r="BA45" s="20">
        <v>-657.7</v>
      </c>
      <c r="BB45" s="20">
        <v>-570.1</v>
      </c>
      <c r="BC45" s="20">
        <v>-680.8</v>
      </c>
    </row>
    <row r="46" ht="15" customHeight="1">
      <c r="A46" s="19" t="s">
        <v>35</v>
      </c>
      <c r="B46" s="19" t="s">
        <v>201</v>
      </c>
      <c r="C46" s="19" t="s">
        <v>124</v>
      </c>
      <c r="D46" s="19">
        <v>2110</v>
      </c>
      <c r="E46" s="19" t="s">
        <v>203</v>
      </c>
      <c r="F46" s="19" t="s">
        <v>39</v>
      </c>
      <c r="G46" s="20">
        <v>-1180</v>
      </c>
      <c r="H46" s="20">
        <v>-1189.4</v>
      </c>
      <c r="I46" s="20">
        <v>-1199</v>
      </c>
      <c r="J46" s="20">
        <v>-1208.5</v>
      </c>
      <c r="K46" s="20">
        <v>-1218.2</v>
      </c>
      <c r="L46" s="20">
        <v>-1228</v>
      </c>
      <c r="M46" s="20">
        <v>-1237.8</v>
      </c>
      <c r="N46" s="20">
        <v>-1247.7</v>
      </c>
      <c r="O46" s="20">
        <v>-1257.7</v>
      </c>
      <c r="P46" s="20">
        <v>-1267.7</v>
      </c>
      <c r="Q46" s="20">
        <v>-1277.9</v>
      </c>
      <c r="R46" s="20">
        <v>-1288.1</v>
      </c>
      <c r="S46" s="20">
        <v>-1298.4</v>
      </c>
      <c r="T46" s="20">
        <v>-1308.8</v>
      </c>
      <c r="U46" s="20">
        <v>-1319.3</v>
      </c>
      <c r="V46" s="20">
        <v>-1329.8</v>
      </c>
      <c r="W46" s="20">
        <v>-1340.4</v>
      </c>
      <c r="X46" s="20">
        <v>-1351.2</v>
      </c>
      <c r="Y46" s="20">
        <v>-1362</v>
      </c>
      <c r="Z46" s="20">
        <v>-1372.9</v>
      </c>
      <c r="AA46" s="20">
        <v>-1383.9</v>
      </c>
      <c r="AB46" s="20">
        <v>-1394.9</v>
      </c>
      <c r="AC46" s="20">
        <v>-1406.1</v>
      </c>
      <c r="AD46" s="20">
        <v>-1417.3</v>
      </c>
      <c r="AE46" s="21"/>
      <c r="AF46" s="20">
        <v>-1121</v>
      </c>
      <c r="AG46" s="20">
        <v>-1260.8</v>
      </c>
      <c r="AH46" s="20">
        <v>-1115</v>
      </c>
      <c r="AI46" s="20">
        <v>-1305.2</v>
      </c>
      <c r="AJ46" s="20">
        <v>-1108.6</v>
      </c>
      <c r="AK46" s="20">
        <v>-1350.8</v>
      </c>
      <c r="AL46" s="20">
        <v>-1175.9</v>
      </c>
      <c r="AM46" s="20">
        <v>-1322.5</v>
      </c>
      <c r="AN46" s="20">
        <v>-1169.6</v>
      </c>
      <c r="AO46" s="20">
        <v>-1369.1</v>
      </c>
      <c r="AP46" s="20">
        <v>-1162.9</v>
      </c>
      <c r="AQ46" s="20">
        <v>-1416.9</v>
      </c>
      <c r="AR46" s="20">
        <v>-1233.5</v>
      </c>
      <c r="AS46" s="20">
        <v>-1387.3</v>
      </c>
      <c r="AT46" s="20">
        <v>-1226.9</v>
      </c>
      <c r="AU46" s="20">
        <v>-1436.2</v>
      </c>
      <c r="AV46" s="20">
        <v>-1219.8</v>
      </c>
      <c r="AW46" s="20">
        <v>-1486.3</v>
      </c>
      <c r="AX46" s="20">
        <v>-1293.9</v>
      </c>
      <c r="AY46" s="20">
        <v>-1455.3</v>
      </c>
      <c r="AZ46" s="20">
        <v>-1287</v>
      </c>
      <c r="BA46" s="20">
        <v>-1506.5</v>
      </c>
      <c r="BB46" s="20">
        <v>-1279.5</v>
      </c>
      <c r="BC46" s="20">
        <v>-1559.1</v>
      </c>
    </row>
    <row r="47" ht="15" customHeight="1">
      <c r="A47" s="19" t="s">
        <v>35</v>
      </c>
      <c r="B47" s="19" t="s">
        <v>201</v>
      </c>
      <c r="C47" s="19" t="s">
        <v>124</v>
      </c>
      <c r="D47" s="19">
        <v>2120</v>
      </c>
      <c r="E47" s="19" t="s">
        <v>204</v>
      </c>
      <c r="F47" s="19" t="s">
        <v>39</v>
      </c>
      <c r="G47" s="20">
        <v>-360</v>
      </c>
      <c r="H47" s="20">
        <v>-362.9</v>
      </c>
      <c r="I47" s="20">
        <v>-365.8</v>
      </c>
      <c r="J47" s="20">
        <v>-368.7</v>
      </c>
      <c r="K47" s="20">
        <v>-371.7</v>
      </c>
      <c r="L47" s="20">
        <v>-374.6</v>
      </c>
      <c r="M47" s="20">
        <v>-377.6</v>
      </c>
      <c r="N47" s="20">
        <v>-380.7</v>
      </c>
      <c r="O47" s="20">
        <v>-383.7</v>
      </c>
      <c r="P47" s="20">
        <v>-386.8</v>
      </c>
      <c r="Q47" s="20">
        <v>-389.9</v>
      </c>
      <c r="R47" s="20">
        <v>-393</v>
      </c>
      <c r="S47" s="20">
        <v>-396.1</v>
      </c>
      <c r="T47" s="20">
        <v>-399.3</v>
      </c>
      <c r="U47" s="20">
        <v>-402.5</v>
      </c>
      <c r="V47" s="20">
        <v>-405.7</v>
      </c>
      <c r="W47" s="20">
        <v>-409</v>
      </c>
      <c r="X47" s="20">
        <v>-412.2</v>
      </c>
      <c r="Y47" s="20">
        <v>-415.5</v>
      </c>
      <c r="Z47" s="20">
        <v>-418.8</v>
      </c>
      <c r="AA47" s="20">
        <v>-422.2</v>
      </c>
      <c r="AB47" s="20">
        <v>-425.6</v>
      </c>
      <c r="AC47" s="20">
        <v>-429</v>
      </c>
      <c r="AD47" s="20">
        <v>-432.4</v>
      </c>
      <c r="AE47" s="21"/>
      <c r="AF47" s="20">
        <v>-338.4</v>
      </c>
      <c r="AG47" s="20">
        <v>-388.3</v>
      </c>
      <c r="AH47" s="20">
        <v>-336.5</v>
      </c>
      <c r="AI47" s="20">
        <v>-401.9</v>
      </c>
      <c r="AJ47" s="20">
        <v>-334.5</v>
      </c>
      <c r="AK47" s="20">
        <v>-393.4</v>
      </c>
      <c r="AL47" s="20">
        <v>-355</v>
      </c>
      <c r="AM47" s="20">
        <v>-407.3</v>
      </c>
      <c r="AN47" s="20">
        <v>-353</v>
      </c>
      <c r="AO47" s="20">
        <v>-421.6</v>
      </c>
      <c r="AP47" s="20">
        <v>-350.9</v>
      </c>
      <c r="AQ47" s="20">
        <v>-412.6</v>
      </c>
      <c r="AR47" s="20">
        <v>-372.4</v>
      </c>
      <c r="AS47" s="20">
        <v>-427.2</v>
      </c>
      <c r="AT47" s="20">
        <v>-370.3</v>
      </c>
      <c r="AU47" s="20">
        <v>-442.2</v>
      </c>
      <c r="AV47" s="20">
        <v>-368.1</v>
      </c>
      <c r="AW47" s="20">
        <v>-432.8</v>
      </c>
      <c r="AX47" s="20">
        <v>-390.6</v>
      </c>
      <c r="AY47" s="20">
        <v>-448.2</v>
      </c>
      <c r="AZ47" s="20">
        <v>-388.4</v>
      </c>
      <c r="BA47" s="20">
        <v>-463.9</v>
      </c>
      <c r="BB47" s="20">
        <v>-386.1</v>
      </c>
      <c r="BC47" s="20">
        <v>-454</v>
      </c>
    </row>
    <row r="48" ht="15" customHeight="1">
      <c r="A48" s="19" t="s">
        <v>35</v>
      </c>
      <c r="B48" s="19" t="s">
        <v>201</v>
      </c>
      <c r="C48" s="19" t="s">
        <v>124</v>
      </c>
      <c r="D48" s="19">
        <v>2130</v>
      </c>
      <c r="E48" s="19" t="s">
        <v>205</v>
      </c>
      <c r="F48" s="19" t="s">
        <v>39</v>
      </c>
      <c r="G48" s="20">
        <v>-610</v>
      </c>
      <c r="H48" s="20">
        <v>-614.9</v>
      </c>
      <c r="I48" s="20">
        <v>-619.8</v>
      </c>
      <c r="J48" s="20">
        <v>-624.8</v>
      </c>
      <c r="K48" s="20">
        <v>-629.8</v>
      </c>
      <c r="L48" s="20">
        <v>-634.8</v>
      </c>
      <c r="M48" s="20">
        <v>-639.9</v>
      </c>
      <c r="N48" s="20">
        <v>-645</v>
      </c>
      <c r="O48" s="20">
        <v>-650.2</v>
      </c>
      <c r="P48" s="20">
        <v>-655.4</v>
      </c>
      <c r="Q48" s="20">
        <v>-660.6</v>
      </c>
      <c r="R48" s="20">
        <v>-665.9</v>
      </c>
      <c r="S48" s="20">
        <v>-671.2</v>
      </c>
      <c r="T48" s="20">
        <v>-676.6</v>
      </c>
      <c r="U48" s="20">
        <v>-682</v>
      </c>
      <c r="V48" s="20">
        <v>-687.4</v>
      </c>
      <c r="W48" s="20">
        <v>-692.9</v>
      </c>
      <c r="X48" s="20">
        <v>-698.5</v>
      </c>
      <c r="Y48" s="20">
        <v>-704.1</v>
      </c>
      <c r="Z48" s="20">
        <v>-709.7</v>
      </c>
      <c r="AA48" s="20">
        <v>-715.4</v>
      </c>
      <c r="AB48" s="20">
        <v>-721.1</v>
      </c>
      <c r="AC48" s="20">
        <v>-726.9</v>
      </c>
      <c r="AD48" s="20">
        <v>-732.7</v>
      </c>
      <c r="AE48" s="21"/>
      <c r="AF48" s="20">
        <v>-567.3</v>
      </c>
      <c r="AG48" s="20">
        <v>-664.1</v>
      </c>
      <c r="AH48" s="20">
        <v>-564</v>
      </c>
      <c r="AI48" s="20">
        <v>-687.2</v>
      </c>
      <c r="AJ48" s="20">
        <v>-598.3</v>
      </c>
      <c r="AK48" s="20">
        <v>-672.9</v>
      </c>
      <c r="AL48" s="20">
        <v>-595.1</v>
      </c>
      <c r="AM48" s="20">
        <v>-696.6</v>
      </c>
      <c r="AN48" s="20">
        <v>-591.6</v>
      </c>
      <c r="AO48" s="20">
        <v>-720.9</v>
      </c>
      <c r="AP48" s="20">
        <v>-627.6</v>
      </c>
      <c r="AQ48" s="20">
        <v>-705.8</v>
      </c>
      <c r="AR48" s="20">
        <v>-624.2</v>
      </c>
      <c r="AS48" s="20">
        <v>-730.7</v>
      </c>
      <c r="AT48" s="20">
        <v>-620.6</v>
      </c>
      <c r="AU48" s="20">
        <v>-756.2</v>
      </c>
      <c r="AV48" s="20">
        <v>-658.3</v>
      </c>
      <c r="AW48" s="20">
        <v>-740.4</v>
      </c>
      <c r="AX48" s="20">
        <v>-654.8</v>
      </c>
      <c r="AY48" s="20">
        <v>-766.5</v>
      </c>
      <c r="AZ48" s="20">
        <v>-651</v>
      </c>
      <c r="BA48" s="20">
        <v>-793.2</v>
      </c>
      <c r="BB48" s="20">
        <v>-690.5</v>
      </c>
      <c r="BC48" s="20">
        <v>-776.7</v>
      </c>
    </row>
    <row r="49" ht="15" customHeight="1">
      <c r="A49" s="19" t="s">
        <v>35</v>
      </c>
      <c r="B49" s="19" t="s">
        <v>201</v>
      </c>
      <c r="C49" s="19" t="s">
        <v>124</v>
      </c>
      <c r="D49" s="19">
        <v>2140</v>
      </c>
      <c r="E49" s="19" t="s">
        <v>206</v>
      </c>
      <c r="F49" s="19" t="s">
        <v>39</v>
      </c>
      <c r="G49" s="20">
        <v>-430</v>
      </c>
      <c r="H49" s="20">
        <v>-433.4</v>
      </c>
      <c r="I49" s="20">
        <v>-436.9</v>
      </c>
      <c r="J49" s="20">
        <v>-440.4</v>
      </c>
      <c r="K49" s="20">
        <v>-443.9</v>
      </c>
      <c r="L49" s="20">
        <v>-447.5</v>
      </c>
      <c r="M49" s="20">
        <v>-451.1</v>
      </c>
      <c r="N49" s="20">
        <v>-454.7</v>
      </c>
      <c r="O49" s="20">
        <v>-458.3</v>
      </c>
      <c r="P49" s="20">
        <v>-462</v>
      </c>
      <c r="Q49" s="20">
        <v>-465.7</v>
      </c>
      <c r="R49" s="20">
        <v>-469.4</v>
      </c>
      <c r="S49" s="20">
        <v>-473.1</v>
      </c>
      <c r="T49" s="20">
        <v>-476.9</v>
      </c>
      <c r="U49" s="20">
        <v>-480.7</v>
      </c>
      <c r="V49" s="20">
        <v>-484.6</v>
      </c>
      <c r="W49" s="20">
        <v>-488.5</v>
      </c>
      <c r="X49" s="20">
        <v>-492.4</v>
      </c>
      <c r="Y49" s="20">
        <v>-496.3</v>
      </c>
      <c r="Z49" s="20">
        <v>-500.3</v>
      </c>
      <c r="AA49" s="20">
        <v>-504.3</v>
      </c>
      <c r="AB49" s="20">
        <v>-508.3</v>
      </c>
      <c r="AC49" s="20">
        <v>-512.4</v>
      </c>
      <c r="AD49" s="20">
        <v>-516.5</v>
      </c>
      <c r="AE49" s="21"/>
      <c r="AF49" s="20">
        <v>-395.6</v>
      </c>
      <c r="AG49" s="20">
        <v>-472.4</v>
      </c>
      <c r="AH49" s="20">
        <v>-393.2</v>
      </c>
      <c r="AI49" s="20">
        <v>-462.4</v>
      </c>
      <c r="AJ49" s="20">
        <v>-417.3</v>
      </c>
      <c r="AK49" s="20">
        <v>-478.8</v>
      </c>
      <c r="AL49" s="20">
        <v>-415</v>
      </c>
      <c r="AM49" s="20">
        <v>-495.6</v>
      </c>
      <c r="AN49" s="20">
        <v>-412.5</v>
      </c>
      <c r="AO49" s="20">
        <v>-485.1</v>
      </c>
      <c r="AP49" s="20">
        <v>-437.7</v>
      </c>
      <c r="AQ49" s="20">
        <v>-502.2</v>
      </c>
      <c r="AR49" s="20">
        <v>-435.3</v>
      </c>
      <c r="AS49" s="20">
        <v>-519.9</v>
      </c>
      <c r="AT49" s="20">
        <v>-432.7</v>
      </c>
      <c r="AU49" s="20">
        <v>-508.8</v>
      </c>
      <c r="AV49" s="20">
        <v>-459.2</v>
      </c>
      <c r="AW49" s="20">
        <v>-526.8</v>
      </c>
      <c r="AX49" s="20">
        <v>-456.6</v>
      </c>
      <c r="AY49" s="20">
        <v>-545.3</v>
      </c>
      <c r="AZ49" s="20">
        <v>-453.9</v>
      </c>
      <c r="BA49" s="20">
        <v>-533.7</v>
      </c>
      <c r="BB49" s="20">
        <v>-481.6</v>
      </c>
      <c r="BC49" s="20">
        <v>-552.6</v>
      </c>
    </row>
    <row r="50" ht="15" customHeight="1">
      <c r="A50" s="22" t="s">
        <v>35</v>
      </c>
      <c r="B50" s="22" t="s">
        <v>201</v>
      </c>
      <c r="C50" s="22" t="s">
        <v>42</v>
      </c>
      <c r="D50" s="22" t="s">
        <v>43</v>
      </c>
      <c r="E50" s="22" t="s">
        <v>207</v>
      </c>
      <c r="F50" s="22" t="s">
        <v>39</v>
      </c>
      <c r="G50" s="23">
        <f t="shared" si="4" ref="G50:BC50">SUM(G45:G49)</f>
        <v>-3100</v>
      </c>
      <c r="H50" s="23">
        <f t="shared" si="4"/>
        <v>-3124.8</v>
      </c>
      <c r="I50" s="23">
        <f t="shared" si="4"/>
        <v>-3149.9</v>
      </c>
      <c r="J50" s="23">
        <f t="shared" si="4"/>
        <v>-3175</v>
      </c>
      <c r="K50" s="23">
        <f t="shared" si="4"/>
        <v>-3200.4</v>
      </c>
      <c r="L50" s="23">
        <f t="shared" si="4"/>
        <v>-3226</v>
      </c>
      <c r="M50" s="23">
        <f t="shared" si="4"/>
        <v>-3251.9</v>
      </c>
      <c r="N50" s="23">
        <f t="shared" si="4"/>
        <v>-3277.9</v>
      </c>
      <c r="O50" s="23">
        <f t="shared" si="4"/>
        <v>-3304.1</v>
      </c>
      <c r="P50" s="23">
        <f t="shared" si="4"/>
        <v>-3330.6</v>
      </c>
      <c r="Q50" s="23">
        <f t="shared" si="4"/>
        <v>-3357.2</v>
      </c>
      <c r="R50" s="23">
        <f t="shared" si="4"/>
        <v>-3384</v>
      </c>
      <c r="S50" s="23">
        <f t="shared" si="4"/>
        <v>-3411</v>
      </c>
      <c r="T50" s="23">
        <f t="shared" si="4"/>
        <v>-3438.4</v>
      </c>
      <c r="U50" s="23">
        <f t="shared" si="4"/>
        <v>-3465.9</v>
      </c>
      <c r="V50" s="23">
        <f t="shared" si="4"/>
        <v>-3493.5</v>
      </c>
      <c r="W50" s="23">
        <f t="shared" si="4"/>
        <v>-3521.5</v>
      </c>
      <c r="X50" s="23">
        <f t="shared" si="4"/>
        <v>-3549.7</v>
      </c>
      <c r="Y50" s="23">
        <f t="shared" si="4"/>
        <v>-3578.1</v>
      </c>
      <c r="Z50" s="23">
        <f t="shared" si="4"/>
        <v>-3606.7</v>
      </c>
      <c r="AA50" s="23">
        <f t="shared" si="4"/>
        <v>-3635.6</v>
      </c>
      <c r="AB50" s="23">
        <f t="shared" si="4"/>
        <v>-3664.6</v>
      </c>
      <c r="AC50" s="23">
        <f t="shared" si="4"/>
        <v>-3694</v>
      </c>
      <c r="AD50" s="23">
        <f t="shared" si="4"/>
        <v>-3723.5</v>
      </c>
      <c r="AE50" s="24"/>
      <c r="AF50" s="23">
        <f t="shared" si="4"/>
        <v>-2890.3</v>
      </c>
      <c r="AG50" s="23">
        <f t="shared" si="4"/>
        <v>-3336</v>
      </c>
      <c r="AH50" s="23">
        <f t="shared" si="4"/>
        <v>-2905.4</v>
      </c>
      <c r="AI50" s="23">
        <f t="shared" si="4"/>
        <v>-3426.6</v>
      </c>
      <c r="AJ50" s="23">
        <f t="shared" si="4"/>
        <v>-2952.6</v>
      </c>
      <c r="AK50" s="23">
        <f t="shared" si="4"/>
        <v>-3485.7</v>
      </c>
      <c r="AL50" s="23">
        <f t="shared" si="4"/>
        <v>-3031.9</v>
      </c>
      <c r="AM50" s="23">
        <f t="shared" si="4"/>
        <v>-3499.3</v>
      </c>
      <c r="AN50" s="23">
        <f t="shared" si="4"/>
        <v>-3047.7</v>
      </c>
      <c r="AO50" s="23">
        <f t="shared" si="4"/>
        <v>-3594.5</v>
      </c>
      <c r="AP50" s="23">
        <f t="shared" si="4"/>
        <v>-3097.2</v>
      </c>
      <c r="AQ50" s="23">
        <f t="shared" si="4"/>
        <v>-3656.2</v>
      </c>
      <c r="AR50" s="23">
        <f t="shared" si="4"/>
        <v>-3180.4</v>
      </c>
      <c r="AS50" s="23">
        <f t="shared" si="4"/>
        <v>-3670.7</v>
      </c>
      <c r="AT50" s="23">
        <f t="shared" si="4"/>
        <v>-3197</v>
      </c>
      <c r="AU50" s="23">
        <f t="shared" si="4"/>
        <v>-3770.4</v>
      </c>
      <c r="AV50" s="23">
        <f t="shared" si="4"/>
        <v>-3248.9</v>
      </c>
      <c r="AW50" s="23">
        <f t="shared" si="4"/>
        <v>-3835.3</v>
      </c>
      <c r="AX50" s="23">
        <f t="shared" si="4"/>
        <v>-3336.1</v>
      </c>
      <c r="AY50" s="23">
        <f t="shared" si="4"/>
        <v>-3850.5</v>
      </c>
      <c r="AZ50" s="23">
        <f t="shared" si="4"/>
        <v>-3353.5</v>
      </c>
      <c r="BA50" s="23">
        <f t="shared" si="4"/>
        <v>-3955</v>
      </c>
      <c r="BB50" s="23">
        <f t="shared" si="4"/>
        <v>-3407.8</v>
      </c>
      <c r="BC50" s="23">
        <f t="shared" si="4"/>
        <v>-4023.2</v>
      </c>
    </row>
    <row r="51" ht="15" customHeight="1">
      <c r="A51" s="19" t="s">
        <v>45</v>
      </c>
      <c r="B51" s="19" t="s">
        <v>45</v>
      </c>
      <c r="C51" s="19" t="s">
        <v>45</v>
      </c>
      <c r="D51" s="19" t="s">
        <v>45</v>
      </c>
      <c r="E51" s="19" t="s">
        <v>45</v>
      </c>
      <c r="F51" s="19" t="s">
        <v>45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1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</row>
    <row r="52" ht="15" customHeight="1">
      <c r="A52" s="19" t="s">
        <v>184</v>
      </c>
      <c r="B52" s="19" t="s">
        <v>185</v>
      </c>
      <c r="C52" s="19" t="s">
        <v>186</v>
      </c>
      <c r="D52" s="19">
        <v>2200</v>
      </c>
      <c r="E52" s="19" t="s">
        <v>208</v>
      </c>
      <c r="F52" s="19" t="s">
        <v>39</v>
      </c>
      <c r="G52" s="20">
        <v>-930</v>
      </c>
      <c r="H52" s="20">
        <v>-945.8</v>
      </c>
      <c r="I52" s="20">
        <v>-961.9</v>
      </c>
      <c r="J52" s="20">
        <v>-978.2</v>
      </c>
      <c r="K52" s="20">
        <v>-994.9</v>
      </c>
      <c r="L52" s="20">
        <v>-1011.8</v>
      </c>
      <c r="M52" s="20">
        <v>-1029</v>
      </c>
      <c r="N52" s="20">
        <v>-1046.5</v>
      </c>
      <c r="O52" s="20">
        <v>-1064.3</v>
      </c>
      <c r="P52" s="20">
        <v>-1082.4</v>
      </c>
      <c r="Q52" s="20">
        <v>-1100.8</v>
      </c>
      <c r="R52" s="20">
        <v>-1119.5</v>
      </c>
      <c r="S52" s="20">
        <v>-1138.5</v>
      </c>
      <c r="T52" s="20">
        <v>-1157.9</v>
      </c>
      <c r="U52" s="20">
        <v>-1177.5</v>
      </c>
      <c r="V52" s="20">
        <v>-1197.6</v>
      </c>
      <c r="W52" s="20">
        <v>-1217.9</v>
      </c>
      <c r="X52" s="20">
        <v>-1238.6</v>
      </c>
      <c r="Y52" s="20">
        <v>-1259.7</v>
      </c>
      <c r="Z52" s="20">
        <v>-1281.1</v>
      </c>
      <c r="AA52" s="20">
        <v>-1302.9</v>
      </c>
      <c r="AB52" s="20">
        <v>-1325</v>
      </c>
      <c r="AC52" s="20">
        <v>-1347.5</v>
      </c>
      <c r="AD52" s="20">
        <v>-1370.5</v>
      </c>
      <c r="AE52" s="21"/>
      <c r="AF52" s="20">
        <v>-883.5</v>
      </c>
      <c r="AG52" s="20">
        <v>-1002.6</v>
      </c>
      <c r="AH52" s="20">
        <v>-894.6</v>
      </c>
      <c r="AI52" s="20">
        <v>-1056.5</v>
      </c>
      <c r="AJ52" s="20">
        <v>-905.3</v>
      </c>
      <c r="AK52" s="20">
        <v>-1113</v>
      </c>
      <c r="AL52" s="20">
        <v>-977.5</v>
      </c>
      <c r="AM52" s="20">
        <v>-1109.3</v>
      </c>
      <c r="AN52" s="20">
        <v>-989.8</v>
      </c>
      <c r="AO52" s="20">
        <v>-1168.9</v>
      </c>
      <c r="AP52" s="20">
        <v>-1001.7</v>
      </c>
      <c r="AQ52" s="20">
        <v>-1231.4</v>
      </c>
      <c r="AR52" s="20">
        <v>-1081.6</v>
      </c>
      <c r="AS52" s="20">
        <v>-1227.3</v>
      </c>
      <c r="AT52" s="20">
        <v>-1095.1</v>
      </c>
      <c r="AU52" s="20">
        <v>-1293.4</v>
      </c>
      <c r="AV52" s="20">
        <v>-1108.3</v>
      </c>
      <c r="AW52" s="20">
        <v>-1362.5</v>
      </c>
      <c r="AX52" s="20">
        <v>-1196.7</v>
      </c>
      <c r="AY52" s="20">
        <v>-1358</v>
      </c>
      <c r="AZ52" s="20">
        <v>-1211.7</v>
      </c>
      <c r="BA52" s="20">
        <v>-1431</v>
      </c>
      <c r="BB52" s="20">
        <v>-1226.3</v>
      </c>
      <c r="BC52" s="20">
        <v>-1507.5</v>
      </c>
    </row>
    <row r="53" ht="15" customHeight="1">
      <c r="A53" s="19" t="s">
        <v>184</v>
      </c>
      <c r="B53" s="19" t="s">
        <v>185</v>
      </c>
      <c r="C53" s="19" t="s">
        <v>186</v>
      </c>
      <c r="D53" s="19">
        <v>2210</v>
      </c>
      <c r="E53" s="19" t="s">
        <v>209</v>
      </c>
      <c r="F53" s="19" t="s">
        <v>39</v>
      </c>
      <c r="G53" s="20">
        <v>-680</v>
      </c>
      <c r="H53" s="20">
        <v>-691.6</v>
      </c>
      <c r="I53" s="20">
        <v>-703.3</v>
      </c>
      <c r="J53" s="20">
        <v>-715.3</v>
      </c>
      <c r="K53" s="20">
        <v>-727.4</v>
      </c>
      <c r="L53" s="20">
        <v>-739.8</v>
      </c>
      <c r="M53" s="20">
        <v>-752.4</v>
      </c>
      <c r="N53" s="20">
        <v>-765.2</v>
      </c>
      <c r="O53" s="20">
        <v>-778.2</v>
      </c>
      <c r="P53" s="20">
        <v>-791.4</v>
      </c>
      <c r="Q53" s="20">
        <v>-804.9</v>
      </c>
      <c r="R53" s="20">
        <v>-818.5</v>
      </c>
      <c r="S53" s="20">
        <v>-832.5</v>
      </c>
      <c r="T53" s="20">
        <v>-846.6</v>
      </c>
      <c r="U53" s="20">
        <v>-861</v>
      </c>
      <c r="V53" s="20">
        <v>-875.6</v>
      </c>
      <c r="W53" s="20">
        <v>-890.5</v>
      </c>
      <c r="X53" s="20">
        <v>-905.7</v>
      </c>
      <c r="Y53" s="20">
        <v>-921.1</v>
      </c>
      <c r="Z53" s="20">
        <v>-936.7</v>
      </c>
      <c r="AA53" s="20">
        <v>-952.6</v>
      </c>
      <c r="AB53" s="20">
        <v>-968.8</v>
      </c>
      <c r="AC53" s="20">
        <v>-985.3</v>
      </c>
      <c r="AD53" s="20">
        <v>-1002.1</v>
      </c>
      <c r="AE53" s="21"/>
      <c r="AF53" s="20">
        <v>-639.2</v>
      </c>
      <c r="AG53" s="20">
        <v>-740</v>
      </c>
      <c r="AH53" s="20">
        <v>-647.1</v>
      </c>
      <c r="AI53" s="20">
        <v>-779.6</v>
      </c>
      <c r="AJ53" s="20">
        <v>-654.7</v>
      </c>
      <c r="AK53" s="20">
        <v>-776.8</v>
      </c>
      <c r="AL53" s="20">
        <v>-707.2</v>
      </c>
      <c r="AM53" s="20">
        <v>-818.7</v>
      </c>
      <c r="AN53" s="20">
        <v>-715.9</v>
      </c>
      <c r="AO53" s="20">
        <v>-862.6</v>
      </c>
      <c r="AP53" s="20">
        <v>-724.4</v>
      </c>
      <c r="AQ53" s="20">
        <v>-859.5</v>
      </c>
      <c r="AR53" s="20">
        <v>-782.5</v>
      </c>
      <c r="AS53" s="20">
        <v>-905.9</v>
      </c>
      <c r="AT53" s="20">
        <v>-792.1</v>
      </c>
      <c r="AU53" s="20">
        <v>-954.4</v>
      </c>
      <c r="AV53" s="20">
        <v>-801.5</v>
      </c>
      <c r="AW53" s="20">
        <v>-950.9</v>
      </c>
      <c r="AX53" s="20">
        <v>-865.8</v>
      </c>
      <c r="AY53" s="20">
        <v>-1002.3</v>
      </c>
      <c r="AZ53" s="20">
        <v>-876.4</v>
      </c>
      <c r="BA53" s="20">
        <v>-1056</v>
      </c>
      <c r="BB53" s="20">
        <v>-886.8</v>
      </c>
      <c r="BC53" s="20">
        <v>-1052.2</v>
      </c>
    </row>
    <row r="54" ht="15" customHeight="1">
      <c r="A54" s="19" t="s">
        <v>184</v>
      </c>
      <c r="B54" s="19" t="s">
        <v>185</v>
      </c>
      <c r="C54" s="19" t="s">
        <v>186</v>
      </c>
      <c r="D54" s="19">
        <v>2220</v>
      </c>
      <c r="E54" s="19" t="s">
        <v>210</v>
      </c>
      <c r="F54" s="19" t="s">
        <v>39</v>
      </c>
      <c r="G54" s="20">
        <v>-1120</v>
      </c>
      <c r="H54" s="20">
        <v>-1120</v>
      </c>
      <c r="I54" s="20">
        <v>-1120</v>
      </c>
      <c r="J54" s="20">
        <v>-1120</v>
      </c>
      <c r="K54" s="20">
        <v>-1120</v>
      </c>
      <c r="L54" s="20">
        <v>-1120</v>
      </c>
      <c r="M54" s="20">
        <v>-1120</v>
      </c>
      <c r="N54" s="20">
        <v>-1120</v>
      </c>
      <c r="O54" s="20">
        <v>-1120</v>
      </c>
      <c r="P54" s="20">
        <v>-1120</v>
      </c>
      <c r="Q54" s="20">
        <v>-1120</v>
      </c>
      <c r="R54" s="20">
        <v>-1120</v>
      </c>
      <c r="S54" s="20">
        <v>-1120</v>
      </c>
      <c r="T54" s="20">
        <v>-1120</v>
      </c>
      <c r="U54" s="20">
        <v>-1120</v>
      </c>
      <c r="V54" s="20">
        <v>-1120</v>
      </c>
      <c r="W54" s="20">
        <v>-1120</v>
      </c>
      <c r="X54" s="20">
        <v>-1120</v>
      </c>
      <c r="Y54" s="20">
        <v>-1120</v>
      </c>
      <c r="Z54" s="20">
        <v>-1120</v>
      </c>
      <c r="AA54" s="20">
        <v>-1120</v>
      </c>
      <c r="AB54" s="20">
        <v>-1120</v>
      </c>
      <c r="AC54" s="20">
        <v>-1120</v>
      </c>
      <c r="AD54" s="20">
        <v>-1120</v>
      </c>
      <c r="AE54" s="21"/>
      <c r="AF54" s="20">
        <v>-1041.6</v>
      </c>
      <c r="AG54" s="20">
        <v>-1209.6</v>
      </c>
      <c r="AH54" s="20">
        <v>-1019.2</v>
      </c>
      <c r="AI54" s="20">
        <v>-1232</v>
      </c>
      <c r="AJ54" s="20">
        <v>-1064</v>
      </c>
      <c r="AK54" s="20">
        <v>-1187.2</v>
      </c>
      <c r="AL54" s="20">
        <v>-1041.6</v>
      </c>
      <c r="AM54" s="20">
        <v>-1209.6</v>
      </c>
      <c r="AN54" s="20">
        <v>-1019.2</v>
      </c>
      <c r="AO54" s="20">
        <v>-1232</v>
      </c>
      <c r="AP54" s="20">
        <v>-1064</v>
      </c>
      <c r="AQ54" s="20">
        <v>-1187.2</v>
      </c>
      <c r="AR54" s="20">
        <v>-1041.6</v>
      </c>
      <c r="AS54" s="20">
        <v>-1209.6</v>
      </c>
      <c r="AT54" s="20">
        <v>-1019.2</v>
      </c>
      <c r="AU54" s="20">
        <v>-1232</v>
      </c>
      <c r="AV54" s="20">
        <v>-1064</v>
      </c>
      <c r="AW54" s="20">
        <v>-1187.2</v>
      </c>
      <c r="AX54" s="20">
        <v>-1041.6</v>
      </c>
      <c r="AY54" s="20">
        <v>-1209.6</v>
      </c>
      <c r="AZ54" s="20">
        <v>-1019.2</v>
      </c>
      <c r="BA54" s="20">
        <v>-1232</v>
      </c>
      <c r="BB54" s="20">
        <v>-1064</v>
      </c>
      <c r="BC54" s="20">
        <v>-1187.2</v>
      </c>
    </row>
    <row r="55" ht="15" customHeight="1">
      <c r="A55" s="19" t="s">
        <v>184</v>
      </c>
      <c r="B55" s="19" t="s">
        <v>185</v>
      </c>
      <c r="C55" s="19" t="s">
        <v>186</v>
      </c>
      <c r="D55" s="19">
        <v>2230</v>
      </c>
      <c r="E55" s="19" t="s">
        <v>211</v>
      </c>
      <c r="F55" s="19" t="s">
        <v>39</v>
      </c>
      <c r="G55" s="20">
        <v>-1640</v>
      </c>
      <c r="H55" s="20">
        <v>-1667.9</v>
      </c>
      <c r="I55" s="20">
        <v>-1696.2</v>
      </c>
      <c r="J55" s="20">
        <v>-1725.1</v>
      </c>
      <c r="K55" s="20">
        <v>-1754.4</v>
      </c>
      <c r="L55" s="20">
        <v>-1784.2</v>
      </c>
      <c r="M55" s="20">
        <v>-1814.6</v>
      </c>
      <c r="N55" s="20">
        <v>-1845.4</v>
      </c>
      <c r="O55" s="20">
        <v>-1876.8</v>
      </c>
      <c r="P55" s="20">
        <v>-1908.7</v>
      </c>
      <c r="Q55" s="20">
        <v>-1941.1</v>
      </c>
      <c r="R55" s="20">
        <v>-1974.1</v>
      </c>
      <c r="S55" s="20">
        <v>-2007.7</v>
      </c>
      <c r="T55" s="20">
        <v>-2041.8</v>
      </c>
      <c r="U55" s="20">
        <v>-2076.5</v>
      </c>
      <c r="V55" s="20">
        <v>-2111.8</v>
      </c>
      <c r="W55" s="20">
        <v>-2147.7</v>
      </c>
      <c r="X55" s="20">
        <v>-2184.2</v>
      </c>
      <c r="Y55" s="20">
        <v>-2221.4</v>
      </c>
      <c r="Z55" s="20">
        <v>-2259.1</v>
      </c>
      <c r="AA55" s="20">
        <v>-2297.5</v>
      </c>
      <c r="AB55" s="20">
        <v>-2336.6</v>
      </c>
      <c r="AC55" s="20">
        <v>-2376.3</v>
      </c>
      <c r="AD55" s="20">
        <v>-2416.7</v>
      </c>
      <c r="AE55" s="21"/>
      <c r="AF55" s="20">
        <v>-1508.8</v>
      </c>
      <c r="AG55" s="20">
        <v>-1818</v>
      </c>
      <c r="AH55" s="20">
        <v>-1526.6</v>
      </c>
      <c r="AI55" s="20">
        <v>-1811.3</v>
      </c>
      <c r="AJ55" s="20">
        <v>-1649.1</v>
      </c>
      <c r="AK55" s="20">
        <v>-1909.1</v>
      </c>
      <c r="AL55" s="20">
        <v>-1669.4</v>
      </c>
      <c r="AM55" s="20">
        <v>-2011.5</v>
      </c>
      <c r="AN55" s="20">
        <v>-1689.1</v>
      </c>
      <c r="AO55" s="20">
        <v>-2004.1</v>
      </c>
      <c r="AP55" s="20">
        <v>-1824.7</v>
      </c>
      <c r="AQ55" s="20">
        <v>-2112.3</v>
      </c>
      <c r="AR55" s="20">
        <v>-1847.1</v>
      </c>
      <c r="AS55" s="20">
        <v>-2225.6</v>
      </c>
      <c r="AT55" s="20">
        <v>-1868.9</v>
      </c>
      <c r="AU55" s="20">
        <v>-2217.4</v>
      </c>
      <c r="AV55" s="20">
        <v>-2018.9</v>
      </c>
      <c r="AW55" s="20">
        <v>-2337.1</v>
      </c>
      <c r="AX55" s="20">
        <v>-2043.7</v>
      </c>
      <c r="AY55" s="20">
        <v>-2462.5</v>
      </c>
      <c r="AZ55" s="20">
        <v>-2067.8</v>
      </c>
      <c r="BA55" s="20">
        <v>-2453.4</v>
      </c>
      <c r="BB55" s="20">
        <v>-2233.7</v>
      </c>
      <c r="BC55" s="20">
        <v>-2585.9</v>
      </c>
    </row>
    <row r="56" ht="15" customHeight="1">
      <c r="A56" s="22" t="s">
        <v>184</v>
      </c>
      <c r="B56" s="22" t="s">
        <v>185</v>
      </c>
      <c r="C56" s="22" t="s">
        <v>42</v>
      </c>
      <c r="D56" s="22" t="s">
        <v>43</v>
      </c>
      <c r="E56" s="22" t="s">
        <v>212</v>
      </c>
      <c r="F56" s="22" t="s">
        <v>39</v>
      </c>
      <c r="G56" s="23">
        <f t="shared" si="1"/>
        <v>-4370</v>
      </c>
      <c r="H56" s="23">
        <f t="shared" si="1"/>
        <v>-4425.3</v>
      </c>
      <c r="I56" s="23">
        <f t="shared" si="1"/>
        <v>-4481.4</v>
      </c>
      <c r="J56" s="23">
        <f t="shared" si="1"/>
        <v>-4538.6</v>
      </c>
      <c r="K56" s="23">
        <f t="shared" si="1"/>
        <v>-4596.7</v>
      </c>
      <c r="L56" s="23">
        <f t="shared" si="1"/>
        <v>-4655.8</v>
      </c>
      <c r="M56" s="23">
        <f t="shared" si="1"/>
        <v>-4716</v>
      </c>
      <c r="N56" s="23">
        <f t="shared" si="1"/>
        <v>-4777.1</v>
      </c>
      <c r="O56" s="23">
        <f t="shared" si="1"/>
        <v>-4839.3</v>
      </c>
      <c r="P56" s="23">
        <f t="shared" si="1"/>
        <v>-4902.5</v>
      </c>
      <c r="Q56" s="23">
        <f t="shared" si="1"/>
        <v>-4966.8</v>
      </c>
      <c r="R56" s="23">
        <f t="shared" si="1"/>
        <v>-5032.1</v>
      </c>
      <c r="S56" s="23">
        <f t="shared" si="1"/>
        <v>-5098.7</v>
      </c>
      <c r="T56" s="23">
        <f t="shared" si="1"/>
        <v>-5166.3</v>
      </c>
      <c r="U56" s="23">
        <f t="shared" si="1"/>
        <v>-5235</v>
      </c>
      <c r="V56" s="23">
        <f t="shared" si="1"/>
        <v>-5305</v>
      </c>
      <c r="W56" s="23">
        <f t="shared" si="1"/>
        <v>-5376.1</v>
      </c>
      <c r="X56" s="23">
        <f t="shared" si="1"/>
        <v>-5448.5</v>
      </c>
      <c r="Y56" s="23">
        <f t="shared" si="1"/>
        <v>-5522.2</v>
      </c>
      <c r="Z56" s="23">
        <f t="shared" si="1"/>
        <v>-5596.9</v>
      </c>
      <c r="AA56" s="23">
        <f t="shared" si="1"/>
        <v>-5673</v>
      </c>
      <c r="AB56" s="23">
        <f t="shared" si="1"/>
        <v>-5750.4</v>
      </c>
      <c r="AC56" s="23">
        <f t="shared" si="1"/>
        <v>-5829.1</v>
      </c>
      <c r="AD56" s="23">
        <f t="shared" si="1"/>
        <v>-5909.3</v>
      </c>
      <c r="AE56" s="24"/>
      <c r="AF56" s="23">
        <f t="shared" si="1"/>
        <v>-4073.1</v>
      </c>
      <c r="AG56" s="23">
        <f t="shared" si="1"/>
        <v>-4770.2</v>
      </c>
      <c r="AH56" s="23">
        <f t="shared" si="1"/>
        <v>-4087.5</v>
      </c>
      <c r="AI56" s="23">
        <f t="shared" si="1"/>
        <v>-4879.4</v>
      </c>
      <c r="AJ56" s="23">
        <f t="shared" si="1"/>
        <v>-4273.1</v>
      </c>
      <c r="AK56" s="23">
        <f t="shared" si="1"/>
        <v>-4986.1</v>
      </c>
      <c r="AL56" s="23">
        <f t="shared" si="1"/>
        <v>-4395.7</v>
      </c>
      <c r="AM56" s="23">
        <f t="shared" si="1"/>
        <v>-5149.1</v>
      </c>
      <c r="AN56" s="23">
        <f t="shared" si="1"/>
        <v>-4414</v>
      </c>
      <c r="AO56" s="23">
        <f t="shared" si="1"/>
        <v>-5267.6</v>
      </c>
      <c r="AP56" s="23">
        <f t="shared" si="1"/>
        <v>-4614.8</v>
      </c>
      <c r="AQ56" s="23">
        <f t="shared" si="1"/>
        <v>-5390.4</v>
      </c>
      <c r="AR56" s="23">
        <f t="shared" si="1"/>
        <v>-4752.8</v>
      </c>
      <c r="AS56" s="23">
        <f t="shared" si="1"/>
        <v>-5568.4</v>
      </c>
      <c r="AT56" s="23">
        <f t="shared" si="1"/>
        <v>-4775.3</v>
      </c>
      <c r="AU56" s="23">
        <f t="shared" si="1"/>
        <v>-5697.2</v>
      </c>
      <c r="AV56" s="23">
        <f t="shared" si="1"/>
        <v>-4992.7</v>
      </c>
      <c r="AW56" s="23">
        <f t="shared" si="1"/>
        <v>-5837.7</v>
      </c>
      <c r="AX56" s="23">
        <f t="shared" si="1"/>
        <v>-5147.8</v>
      </c>
      <c r="AY56" s="23">
        <f t="shared" si="1"/>
        <v>-6032.4</v>
      </c>
      <c r="AZ56" s="23">
        <f t="shared" si="1"/>
        <v>-5175.1</v>
      </c>
      <c r="BA56" s="23">
        <f t="shared" si="1"/>
        <v>-6172.4</v>
      </c>
      <c r="BB56" s="23">
        <f t="shared" si="1"/>
        <v>-5410.8</v>
      </c>
      <c r="BC56" s="23">
        <f t="shared" si="1"/>
        <v>-6332.8</v>
      </c>
    </row>
    <row r="57" ht="15" customHeight="1">
      <c r="A57" s="19" t="s">
        <v>45</v>
      </c>
      <c r="B57" s="19" t="s">
        <v>45</v>
      </c>
      <c r="C57" s="19" t="s">
        <v>45</v>
      </c>
      <c r="D57" s="19" t="s">
        <v>45</v>
      </c>
      <c r="E57" s="19" t="s">
        <v>45</v>
      </c>
      <c r="F57" s="19" t="s">
        <v>45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1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</row>
    <row r="58" ht="15" customHeight="1">
      <c r="A58" s="19" t="s">
        <v>213</v>
      </c>
      <c r="B58" s="19" t="s">
        <v>214</v>
      </c>
      <c r="C58" s="19" t="s">
        <v>215</v>
      </c>
      <c r="D58" s="19">
        <v>2500</v>
      </c>
      <c r="E58" s="19" t="s">
        <v>216</v>
      </c>
      <c r="F58" s="19" t="s">
        <v>39</v>
      </c>
      <c r="G58" s="20">
        <v>-42000</v>
      </c>
      <c r="H58" s="20">
        <v>-41500</v>
      </c>
      <c r="I58" s="20">
        <v>-41000</v>
      </c>
      <c r="J58" s="20">
        <v>-40500</v>
      </c>
      <c r="K58" s="20">
        <v>-40000</v>
      </c>
      <c r="L58" s="20">
        <v>-39500</v>
      </c>
      <c r="M58" s="20">
        <v>-39000</v>
      </c>
      <c r="N58" s="20">
        <v>-38500</v>
      </c>
      <c r="O58" s="20">
        <v>-38000</v>
      </c>
      <c r="P58" s="20">
        <v>-37500</v>
      </c>
      <c r="Q58" s="20">
        <v>-37000</v>
      </c>
      <c r="R58" s="20">
        <v>-36500</v>
      </c>
      <c r="S58" s="20">
        <v>-36000</v>
      </c>
      <c r="T58" s="20">
        <v>-35500</v>
      </c>
      <c r="U58" s="20">
        <v>-35000</v>
      </c>
      <c r="V58" s="20">
        <v>-34500</v>
      </c>
      <c r="W58" s="20">
        <v>-34000</v>
      </c>
      <c r="X58" s="20">
        <v>-33500</v>
      </c>
      <c r="Y58" s="20">
        <v>-33000</v>
      </c>
      <c r="Z58" s="20">
        <v>-32500</v>
      </c>
      <c r="AA58" s="20">
        <v>-32000</v>
      </c>
      <c r="AB58" s="20">
        <v>-31500</v>
      </c>
      <c r="AC58" s="20">
        <v>-31000</v>
      </c>
      <c r="AD58" s="20">
        <v>-30500</v>
      </c>
      <c r="AE58" s="21"/>
      <c r="AF58" s="20">
        <v>-39900</v>
      </c>
      <c r="AG58" s="20">
        <v>-43990</v>
      </c>
      <c r="AH58" s="20">
        <v>-38130</v>
      </c>
      <c r="AI58" s="20">
        <v>-43740</v>
      </c>
      <c r="AJ58" s="20">
        <v>-36400</v>
      </c>
      <c r="AK58" s="20">
        <v>-43450</v>
      </c>
      <c r="AL58" s="20">
        <v>-37050</v>
      </c>
      <c r="AM58" s="20">
        <v>-40810</v>
      </c>
      <c r="AN58" s="20">
        <v>-35340</v>
      </c>
      <c r="AO58" s="20">
        <v>-40500</v>
      </c>
      <c r="AP58" s="20">
        <v>-33670</v>
      </c>
      <c r="AQ58" s="20">
        <v>-40150</v>
      </c>
      <c r="AR58" s="20">
        <v>-34200</v>
      </c>
      <c r="AS58" s="20">
        <v>-37630</v>
      </c>
      <c r="AT58" s="20">
        <v>-32550</v>
      </c>
      <c r="AU58" s="20">
        <v>-37260</v>
      </c>
      <c r="AV58" s="20">
        <v>-30940</v>
      </c>
      <c r="AW58" s="20">
        <v>-36850</v>
      </c>
      <c r="AX58" s="20">
        <v>-31350</v>
      </c>
      <c r="AY58" s="20">
        <v>-34450</v>
      </c>
      <c r="AZ58" s="20">
        <v>-29760</v>
      </c>
      <c r="BA58" s="20">
        <v>-34020</v>
      </c>
      <c r="BB58" s="20">
        <v>-28210</v>
      </c>
      <c r="BC58" s="20">
        <v>-33550</v>
      </c>
    </row>
    <row r="59" ht="15" customHeight="1">
      <c r="A59" s="19" t="s">
        <v>213</v>
      </c>
      <c r="B59" s="19" t="s">
        <v>214</v>
      </c>
      <c r="C59" s="19" t="s">
        <v>215</v>
      </c>
      <c r="D59" s="19">
        <v>2510</v>
      </c>
      <c r="E59" s="19" t="s">
        <v>217</v>
      </c>
      <c r="F59" s="19" t="s">
        <v>39</v>
      </c>
      <c r="G59" s="20">
        <v>-28000</v>
      </c>
      <c r="H59" s="20">
        <v>-28000</v>
      </c>
      <c r="I59" s="20">
        <v>-28000</v>
      </c>
      <c r="J59" s="20">
        <v>-28000</v>
      </c>
      <c r="K59" s="20">
        <v>-28000</v>
      </c>
      <c r="L59" s="20">
        <v>-28000</v>
      </c>
      <c r="M59" s="20">
        <v>-28000</v>
      </c>
      <c r="N59" s="20">
        <v>-28000</v>
      </c>
      <c r="O59" s="20">
        <v>-28000</v>
      </c>
      <c r="P59" s="20">
        <v>-28000</v>
      </c>
      <c r="Q59" s="20">
        <v>-28000</v>
      </c>
      <c r="R59" s="20">
        <v>-28000</v>
      </c>
      <c r="S59" s="20">
        <v>-27750</v>
      </c>
      <c r="T59" s="20">
        <v>-27500</v>
      </c>
      <c r="U59" s="20">
        <v>-27250</v>
      </c>
      <c r="V59" s="20">
        <v>-27000</v>
      </c>
      <c r="W59" s="20">
        <v>-26750</v>
      </c>
      <c r="X59" s="20">
        <v>-26500</v>
      </c>
      <c r="Y59" s="20">
        <v>-26250</v>
      </c>
      <c r="Z59" s="20">
        <v>-26000</v>
      </c>
      <c r="AA59" s="20">
        <v>-25750</v>
      </c>
      <c r="AB59" s="20">
        <v>-25500</v>
      </c>
      <c r="AC59" s="20">
        <v>-25250</v>
      </c>
      <c r="AD59" s="20">
        <v>-25000</v>
      </c>
      <c r="AE59" s="21"/>
      <c r="AF59" s="20">
        <v>-26320</v>
      </c>
      <c r="AG59" s="20">
        <v>-29960</v>
      </c>
      <c r="AH59" s="20">
        <v>-25760</v>
      </c>
      <c r="AI59" s="20">
        <v>-30520</v>
      </c>
      <c r="AJ59" s="20">
        <v>-25200</v>
      </c>
      <c r="AK59" s="20">
        <v>-29400</v>
      </c>
      <c r="AL59" s="20">
        <v>-26320</v>
      </c>
      <c r="AM59" s="20">
        <v>-29960</v>
      </c>
      <c r="AN59" s="20">
        <v>-25760</v>
      </c>
      <c r="AO59" s="20">
        <v>-30520</v>
      </c>
      <c r="AP59" s="20">
        <v>-25200</v>
      </c>
      <c r="AQ59" s="20">
        <v>-29400</v>
      </c>
      <c r="AR59" s="20">
        <v>-26085</v>
      </c>
      <c r="AS59" s="20">
        <v>-29425</v>
      </c>
      <c r="AT59" s="20">
        <v>-25070</v>
      </c>
      <c r="AU59" s="20">
        <v>-29430</v>
      </c>
      <c r="AV59" s="20">
        <v>-24075</v>
      </c>
      <c r="AW59" s="20">
        <v>-27825</v>
      </c>
      <c r="AX59" s="20">
        <v>-24675</v>
      </c>
      <c r="AY59" s="20">
        <v>-27820</v>
      </c>
      <c r="AZ59" s="20">
        <v>-23690</v>
      </c>
      <c r="BA59" s="20">
        <v>-27795</v>
      </c>
      <c r="BB59" s="20">
        <v>-22725</v>
      </c>
      <c r="BC59" s="20">
        <v>-26250</v>
      </c>
    </row>
    <row r="60" ht="15" customHeight="1">
      <c r="A60" s="19" t="s">
        <v>213</v>
      </c>
      <c r="B60" s="19" t="s">
        <v>214</v>
      </c>
      <c r="C60" s="19" t="s">
        <v>215</v>
      </c>
      <c r="D60" s="19">
        <v>2520</v>
      </c>
      <c r="E60" s="19" t="s">
        <v>218</v>
      </c>
      <c r="F60" s="19" t="s">
        <v>39</v>
      </c>
      <c r="G60" s="20">
        <v>-25000</v>
      </c>
      <c r="H60" s="20">
        <v>-25000</v>
      </c>
      <c r="I60" s="20">
        <v>-25000</v>
      </c>
      <c r="J60" s="20">
        <v>-25000</v>
      </c>
      <c r="K60" s="20">
        <v>-25000</v>
      </c>
      <c r="L60" s="20">
        <v>-25000</v>
      </c>
      <c r="M60" s="20">
        <v>-25000</v>
      </c>
      <c r="N60" s="20">
        <v>-25000</v>
      </c>
      <c r="O60" s="20">
        <v>-25000</v>
      </c>
      <c r="P60" s="20">
        <v>-25000</v>
      </c>
      <c r="Q60" s="20">
        <v>-25000</v>
      </c>
      <c r="R60" s="20">
        <v>-25000</v>
      </c>
      <c r="S60" s="20">
        <v>-25000</v>
      </c>
      <c r="T60" s="20">
        <v>-25000</v>
      </c>
      <c r="U60" s="20">
        <v>-25000</v>
      </c>
      <c r="V60" s="20">
        <v>-25000</v>
      </c>
      <c r="W60" s="20">
        <v>-25000</v>
      </c>
      <c r="X60" s="20">
        <v>-25000</v>
      </c>
      <c r="Y60" s="20">
        <v>-25000</v>
      </c>
      <c r="Z60" s="20">
        <v>-25000</v>
      </c>
      <c r="AA60" s="20">
        <v>-25000</v>
      </c>
      <c r="AB60" s="20">
        <v>-25000</v>
      </c>
      <c r="AC60" s="20">
        <v>-25000</v>
      </c>
      <c r="AD60" s="20">
        <v>-25000</v>
      </c>
      <c r="AE60" s="21"/>
      <c r="AF60" s="20">
        <v>-23250</v>
      </c>
      <c r="AG60" s="20">
        <v>-27000</v>
      </c>
      <c r="AH60" s="20">
        <v>-22750</v>
      </c>
      <c r="AI60" s="20">
        <v>-27500</v>
      </c>
      <c r="AJ60" s="20">
        <v>-23750</v>
      </c>
      <c r="AK60" s="20">
        <v>-26500</v>
      </c>
      <c r="AL60" s="20">
        <v>-23250</v>
      </c>
      <c r="AM60" s="20">
        <v>-27000</v>
      </c>
      <c r="AN60" s="20">
        <v>-22750</v>
      </c>
      <c r="AO60" s="20">
        <v>-27500</v>
      </c>
      <c r="AP60" s="20">
        <v>-23750</v>
      </c>
      <c r="AQ60" s="20">
        <v>-26500</v>
      </c>
      <c r="AR60" s="20">
        <v>-23250</v>
      </c>
      <c r="AS60" s="20">
        <v>-27000</v>
      </c>
      <c r="AT60" s="20">
        <v>-22750</v>
      </c>
      <c r="AU60" s="20">
        <v>-27500</v>
      </c>
      <c r="AV60" s="20">
        <v>-23750</v>
      </c>
      <c r="AW60" s="20">
        <v>-26500</v>
      </c>
      <c r="AX60" s="20">
        <v>-23250</v>
      </c>
      <c r="AY60" s="20">
        <v>-27000</v>
      </c>
      <c r="AZ60" s="20">
        <v>-22750</v>
      </c>
      <c r="BA60" s="20">
        <v>-27500</v>
      </c>
      <c r="BB60" s="20">
        <v>-23750</v>
      </c>
      <c r="BC60" s="20">
        <v>-26500</v>
      </c>
    </row>
    <row r="61" ht="15" customHeight="1">
      <c r="A61" s="19" t="s">
        <v>213</v>
      </c>
      <c r="B61" s="19" t="s">
        <v>214</v>
      </c>
      <c r="C61" s="19" t="s">
        <v>215</v>
      </c>
      <c r="D61" s="19">
        <v>2530</v>
      </c>
      <c r="E61" s="19" t="s">
        <v>219</v>
      </c>
      <c r="F61" s="19" t="s">
        <v>39</v>
      </c>
      <c r="G61" s="20">
        <v>-18000</v>
      </c>
      <c r="H61" s="20">
        <v>-18000</v>
      </c>
      <c r="I61" s="20">
        <v>-18000</v>
      </c>
      <c r="J61" s="20">
        <v>-18000</v>
      </c>
      <c r="K61" s="20">
        <v>-18000</v>
      </c>
      <c r="L61" s="20">
        <v>-18000</v>
      </c>
      <c r="M61" s="20">
        <v>-18000</v>
      </c>
      <c r="N61" s="20">
        <v>-18000</v>
      </c>
      <c r="O61" s="20">
        <v>-18000</v>
      </c>
      <c r="P61" s="20">
        <v>-18000</v>
      </c>
      <c r="Q61" s="20">
        <v>-18000</v>
      </c>
      <c r="R61" s="20">
        <v>-18000</v>
      </c>
      <c r="S61" s="20">
        <v>-18000</v>
      </c>
      <c r="T61" s="20">
        <v>-18000</v>
      </c>
      <c r="U61" s="20">
        <v>-18000</v>
      </c>
      <c r="V61" s="20">
        <v>-18000</v>
      </c>
      <c r="W61" s="20">
        <v>-18000</v>
      </c>
      <c r="X61" s="20">
        <v>-18000</v>
      </c>
      <c r="Y61" s="20">
        <v>-18000</v>
      </c>
      <c r="Z61" s="20">
        <v>-18000</v>
      </c>
      <c r="AA61" s="20">
        <v>-18000</v>
      </c>
      <c r="AB61" s="20">
        <v>-18000</v>
      </c>
      <c r="AC61" s="20">
        <v>-18000</v>
      </c>
      <c r="AD61" s="20">
        <v>-18000</v>
      </c>
      <c r="AE61" s="21"/>
      <c r="AF61" s="20">
        <v>-16560</v>
      </c>
      <c r="AG61" s="20">
        <v>-19620</v>
      </c>
      <c r="AH61" s="20">
        <v>-16200</v>
      </c>
      <c r="AI61" s="20">
        <v>-18900</v>
      </c>
      <c r="AJ61" s="20">
        <v>-16920</v>
      </c>
      <c r="AK61" s="20">
        <v>-19260</v>
      </c>
      <c r="AL61" s="20">
        <v>-16560</v>
      </c>
      <c r="AM61" s="20">
        <v>-19620</v>
      </c>
      <c r="AN61" s="20">
        <v>-16200</v>
      </c>
      <c r="AO61" s="20">
        <v>-18900</v>
      </c>
      <c r="AP61" s="20">
        <v>-16920</v>
      </c>
      <c r="AQ61" s="20">
        <v>-19260</v>
      </c>
      <c r="AR61" s="20">
        <v>-16560</v>
      </c>
      <c r="AS61" s="20">
        <v>-19620</v>
      </c>
      <c r="AT61" s="20">
        <v>-16200</v>
      </c>
      <c r="AU61" s="20">
        <v>-18900</v>
      </c>
      <c r="AV61" s="20">
        <v>-16920</v>
      </c>
      <c r="AW61" s="20">
        <v>-19260</v>
      </c>
      <c r="AX61" s="20">
        <v>-16560</v>
      </c>
      <c r="AY61" s="20">
        <v>-19620</v>
      </c>
      <c r="AZ61" s="20">
        <v>-16200</v>
      </c>
      <c r="BA61" s="20">
        <v>-18900</v>
      </c>
      <c r="BB61" s="20">
        <v>-16920</v>
      </c>
      <c r="BC61" s="20">
        <v>-19260</v>
      </c>
    </row>
    <row r="62" ht="15" customHeight="1">
      <c r="A62" s="19" t="s">
        <v>213</v>
      </c>
      <c r="B62" s="19" t="s">
        <v>214</v>
      </c>
      <c r="C62" s="19" t="s">
        <v>215</v>
      </c>
      <c r="D62" s="19">
        <v>2540</v>
      </c>
      <c r="E62" s="19" t="s">
        <v>220</v>
      </c>
      <c r="F62" s="19" t="s">
        <v>39</v>
      </c>
      <c r="G62" s="20">
        <v>-1350</v>
      </c>
      <c r="H62" s="20">
        <v>-1366.2</v>
      </c>
      <c r="I62" s="20">
        <v>-1382.6</v>
      </c>
      <c r="J62" s="20">
        <v>-1399.2</v>
      </c>
      <c r="K62" s="20">
        <v>-1416</v>
      </c>
      <c r="L62" s="20">
        <v>-1433</v>
      </c>
      <c r="M62" s="20">
        <v>-1450.2</v>
      </c>
      <c r="N62" s="20">
        <v>-1467.6</v>
      </c>
      <c r="O62" s="20">
        <v>-1485.2</v>
      </c>
      <c r="P62" s="20">
        <v>-1503</v>
      </c>
      <c r="Q62" s="20">
        <v>-1521</v>
      </c>
      <c r="R62" s="20">
        <v>-1539.3</v>
      </c>
      <c r="S62" s="20">
        <v>-1557.8</v>
      </c>
      <c r="T62" s="20">
        <v>-1576.5</v>
      </c>
      <c r="U62" s="20">
        <v>-1595.4</v>
      </c>
      <c r="V62" s="20">
        <v>-1614.5</v>
      </c>
      <c r="W62" s="20">
        <v>-1633.9</v>
      </c>
      <c r="X62" s="20">
        <v>-1653.5</v>
      </c>
      <c r="Y62" s="20">
        <v>-1673.3</v>
      </c>
      <c r="Z62" s="20">
        <v>-1693.4</v>
      </c>
      <c r="AA62" s="20">
        <v>-1713.7</v>
      </c>
      <c r="AB62" s="20">
        <v>-1734.3</v>
      </c>
      <c r="AC62" s="20">
        <v>-1755.1</v>
      </c>
      <c r="AD62" s="20">
        <v>-1776.2</v>
      </c>
      <c r="AE62" s="21"/>
      <c r="AF62" s="20">
        <v>-1228.5</v>
      </c>
      <c r="AG62" s="20">
        <v>-1502.8</v>
      </c>
      <c r="AH62" s="20">
        <v>-1313.5</v>
      </c>
      <c r="AI62" s="20">
        <v>-1483.1</v>
      </c>
      <c r="AJ62" s="20">
        <v>-1316.9</v>
      </c>
      <c r="AK62" s="20">
        <v>-1547.6</v>
      </c>
      <c r="AL62" s="20">
        <v>-1319.6</v>
      </c>
      <c r="AM62" s="20">
        <v>-1614.3</v>
      </c>
      <c r="AN62" s="20">
        <v>-1410.9</v>
      </c>
      <c r="AO62" s="20">
        <v>-1593.2</v>
      </c>
      <c r="AP62" s="20">
        <v>-1414.6</v>
      </c>
      <c r="AQ62" s="20">
        <v>-1662.4</v>
      </c>
      <c r="AR62" s="20">
        <v>-1417.6</v>
      </c>
      <c r="AS62" s="20">
        <v>-1734.1</v>
      </c>
      <c r="AT62" s="20">
        <v>-1515.6</v>
      </c>
      <c r="AU62" s="20">
        <v>-1711.4</v>
      </c>
      <c r="AV62" s="20">
        <v>-1519.5</v>
      </c>
      <c r="AW62" s="20">
        <v>-1785.8</v>
      </c>
      <c r="AX62" s="20">
        <v>-1522.7</v>
      </c>
      <c r="AY62" s="20">
        <v>-1862.8</v>
      </c>
      <c r="AZ62" s="20">
        <v>-1628</v>
      </c>
      <c r="BA62" s="20">
        <v>-1838.4</v>
      </c>
      <c r="BB62" s="20">
        <v>-1632.3</v>
      </c>
      <c r="BC62" s="20">
        <v>-1918.3</v>
      </c>
    </row>
    <row r="63" ht="15" customHeight="1">
      <c r="A63" s="19" t="s">
        <v>213</v>
      </c>
      <c r="B63" s="19" t="s">
        <v>214</v>
      </c>
      <c r="C63" s="19" t="s">
        <v>215</v>
      </c>
      <c r="D63" s="19">
        <v>2550</v>
      </c>
      <c r="E63" s="19" t="s">
        <v>221</v>
      </c>
      <c r="F63" s="19" t="s">
        <v>39</v>
      </c>
      <c r="G63" s="20">
        <v>1850</v>
      </c>
      <c r="H63" s="20">
        <v>1805</v>
      </c>
      <c r="I63" s="20">
        <v>1760</v>
      </c>
      <c r="J63" s="20">
        <v>1715</v>
      </c>
      <c r="K63" s="20">
        <v>1670</v>
      </c>
      <c r="L63" s="20">
        <v>1625</v>
      </c>
      <c r="M63" s="20">
        <v>1580</v>
      </c>
      <c r="N63" s="20">
        <v>1535</v>
      </c>
      <c r="O63" s="20">
        <v>1490</v>
      </c>
      <c r="P63" s="20">
        <v>1445</v>
      </c>
      <c r="Q63" s="20">
        <v>1400</v>
      </c>
      <c r="R63" s="20">
        <v>1355</v>
      </c>
      <c r="S63" s="20">
        <v>1310</v>
      </c>
      <c r="T63" s="20">
        <v>1265</v>
      </c>
      <c r="U63" s="20">
        <v>1220</v>
      </c>
      <c r="V63" s="20">
        <v>1175</v>
      </c>
      <c r="W63" s="20">
        <v>1130</v>
      </c>
      <c r="X63" s="20">
        <v>1085</v>
      </c>
      <c r="Y63" s="20">
        <v>1040</v>
      </c>
      <c r="Z63" s="20">
        <v>995</v>
      </c>
      <c r="AA63" s="20">
        <v>950</v>
      </c>
      <c r="AB63" s="20">
        <v>905</v>
      </c>
      <c r="AC63" s="20">
        <v>860</v>
      </c>
      <c r="AD63" s="20">
        <v>815</v>
      </c>
      <c r="AE63" s="21"/>
      <c r="AF63" s="20">
        <v>1665</v>
      </c>
      <c r="AG63" s="20">
        <v>1895.3</v>
      </c>
      <c r="AH63" s="20">
        <v>1654.4</v>
      </c>
      <c r="AI63" s="20">
        <v>1835.1</v>
      </c>
      <c r="AJ63" s="20">
        <v>1536.4</v>
      </c>
      <c r="AK63" s="20">
        <v>1771.3</v>
      </c>
      <c r="AL63" s="20">
        <v>1422</v>
      </c>
      <c r="AM63" s="20">
        <v>1611.8</v>
      </c>
      <c r="AN63" s="20">
        <v>1400.6</v>
      </c>
      <c r="AO63" s="20">
        <v>1546.2</v>
      </c>
      <c r="AP63" s="20">
        <v>1288</v>
      </c>
      <c r="AQ63" s="20">
        <v>1477</v>
      </c>
      <c r="AR63" s="20">
        <v>1179</v>
      </c>
      <c r="AS63" s="20">
        <v>1328.3</v>
      </c>
      <c r="AT63" s="20">
        <v>1146.8</v>
      </c>
      <c r="AU63" s="20">
        <v>1257.3</v>
      </c>
      <c r="AV63" s="20">
        <v>1039.6</v>
      </c>
      <c r="AW63" s="20">
        <v>1182.7</v>
      </c>
      <c r="AX63" s="20">
        <v>936</v>
      </c>
      <c r="AY63" s="20">
        <v>1044.8</v>
      </c>
      <c r="AZ63" s="20">
        <v>893</v>
      </c>
      <c r="BA63" s="20">
        <v>968.4</v>
      </c>
      <c r="BB63" s="20">
        <v>791.2</v>
      </c>
      <c r="BC63" s="20">
        <v>888.4</v>
      </c>
    </row>
    <row r="64" ht="15" customHeight="1">
      <c r="A64" s="22" t="s">
        <v>213</v>
      </c>
      <c r="B64" s="22" t="s">
        <v>214</v>
      </c>
      <c r="C64" s="22" t="s">
        <v>42</v>
      </c>
      <c r="D64" s="22" t="s">
        <v>43</v>
      </c>
      <c r="E64" s="22" t="s">
        <v>222</v>
      </c>
      <c r="F64" s="22" t="s">
        <v>39</v>
      </c>
      <c r="G64" s="23">
        <f t="shared" si="3"/>
        <v>-112500</v>
      </c>
      <c r="H64" s="23">
        <f t="shared" si="3"/>
        <v>-112061.2</v>
      </c>
      <c r="I64" s="23">
        <f t="shared" si="3"/>
        <v>-111622.6</v>
      </c>
      <c r="J64" s="23">
        <f t="shared" si="3"/>
        <v>-111184.2</v>
      </c>
      <c r="K64" s="23">
        <f t="shared" si="3"/>
        <v>-110746</v>
      </c>
      <c r="L64" s="23">
        <f t="shared" si="3"/>
        <v>-110308</v>
      </c>
      <c r="M64" s="23">
        <f t="shared" si="3"/>
        <v>-109870.2</v>
      </c>
      <c r="N64" s="23">
        <f t="shared" si="3"/>
        <v>-109432.6</v>
      </c>
      <c r="O64" s="23">
        <f t="shared" si="3"/>
        <v>-108995.2</v>
      </c>
      <c r="P64" s="23">
        <f t="shared" si="3"/>
        <v>-108558</v>
      </c>
      <c r="Q64" s="23">
        <f t="shared" si="3"/>
        <v>-108121</v>
      </c>
      <c r="R64" s="23">
        <f t="shared" si="3"/>
        <v>-107684.3</v>
      </c>
      <c r="S64" s="23">
        <f t="shared" si="3"/>
        <v>-106997.8</v>
      </c>
      <c r="T64" s="23">
        <f t="shared" si="3"/>
        <v>-106311.5</v>
      </c>
      <c r="U64" s="23">
        <f t="shared" si="3"/>
        <v>-105625.4</v>
      </c>
      <c r="V64" s="23">
        <f t="shared" si="3"/>
        <v>-104939.5</v>
      </c>
      <c r="W64" s="23">
        <f t="shared" si="3"/>
        <v>-104253.9</v>
      </c>
      <c r="X64" s="23">
        <f t="shared" si="3"/>
        <v>-103568.5</v>
      </c>
      <c r="Y64" s="23">
        <f t="shared" si="3"/>
        <v>-102883.3</v>
      </c>
      <c r="Z64" s="23">
        <f t="shared" si="3"/>
        <v>-102198.4</v>
      </c>
      <c r="AA64" s="23">
        <f t="shared" si="3"/>
        <v>-101513.7</v>
      </c>
      <c r="AB64" s="23">
        <f t="shared" si="3"/>
        <v>-100829.3</v>
      </c>
      <c r="AC64" s="23">
        <f t="shared" si="3"/>
        <v>-100145.1</v>
      </c>
      <c r="AD64" s="23">
        <f t="shared" si="3"/>
        <v>-99461.2</v>
      </c>
      <c r="AE64" s="24"/>
      <c r="AF64" s="23">
        <f t="shared" si="3"/>
        <v>-105593.5</v>
      </c>
      <c r="AG64" s="23">
        <f t="shared" si="3"/>
        <v>-120177.5</v>
      </c>
      <c r="AH64" s="23">
        <f t="shared" si="3"/>
        <v>-102499.1</v>
      </c>
      <c r="AI64" s="23">
        <f t="shared" si="3"/>
        <v>-120308</v>
      </c>
      <c r="AJ64" s="23">
        <f t="shared" si="3"/>
        <v>-102050.5</v>
      </c>
      <c r="AK64" s="23">
        <f t="shared" si="3"/>
        <v>-118386.3</v>
      </c>
      <c r="AL64" s="23">
        <f t="shared" si="3"/>
        <v>-103077.6</v>
      </c>
      <c r="AM64" s="23">
        <f t="shared" si="3"/>
        <v>-117392.5</v>
      </c>
      <c r="AN64" s="23">
        <f t="shared" si="3"/>
        <v>-100060.3</v>
      </c>
      <c r="AO64" s="23">
        <f t="shared" si="3"/>
        <v>-117467</v>
      </c>
      <c r="AP64" s="23">
        <f t="shared" si="3"/>
        <v>-99666.6</v>
      </c>
      <c r="AQ64" s="23">
        <f t="shared" si="3"/>
        <v>-115495.4</v>
      </c>
      <c r="AR64" s="23">
        <f t="shared" si="3"/>
        <v>-100333.6</v>
      </c>
      <c r="AS64" s="23">
        <f t="shared" si="3"/>
        <v>-114080.8</v>
      </c>
      <c r="AT64" s="23">
        <f t="shared" si="3"/>
        <v>-96938.8</v>
      </c>
      <c r="AU64" s="23">
        <f t="shared" si="3"/>
        <v>-113544.1</v>
      </c>
      <c r="AV64" s="23">
        <f t="shared" si="3"/>
        <v>-96164.9</v>
      </c>
      <c r="AW64" s="23">
        <f t="shared" si="3"/>
        <v>-111038.1</v>
      </c>
      <c r="AX64" s="23">
        <f t="shared" si="3"/>
        <v>-96421.7</v>
      </c>
      <c r="AY64" s="23">
        <f t="shared" si="3"/>
        <v>-109708</v>
      </c>
      <c r="AZ64" s="23">
        <f t="shared" si="3"/>
        <v>-93135</v>
      </c>
      <c r="BA64" s="23">
        <f t="shared" si="3"/>
        <v>-109085</v>
      </c>
      <c r="BB64" s="23">
        <f t="shared" si="3"/>
        <v>-92446.1</v>
      </c>
      <c r="BC64" s="23">
        <f t="shared" si="3"/>
        <v>-106589.9</v>
      </c>
    </row>
    <row r="65" ht="15" customHeight="1">
      <c r="A65" s="19" t="s">
        <v>45</v>
      </c>
      <c r="B65" s="19" t="s">
        <v>45</v>
      </c>
      <c r="C65" s="19" t="s">
        <v>45</v>
      </c>
      <c r="D65" s="19" t="s">
        <v>45</v>
      </c>
      <c r="E65" s="19" t="s">
        <v>45</v>
      </c>
      <c r="F65" s="19" t="s">
        <v>45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1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</row>
    <row r="66" ht="15" customHeight="1">
      <c r="A66" s="19" t="s">
        <v>213</v>
      </c>
      <c r="B66" s="19" t="s">
        <v>223</v>
      </c>
      <c r="C66" s="19" t="s">
        <v>224</v>
      </c>
      <c r="D66" s="19">
        <v>3000</v>
      </c>
      <c r="E66" s="19" t="s">
        <v>225</v>
      </c>
      <c r="F66" s="19" t="s">
        <v>39</v>
      </c>
      <c r="G66" s="20">
        <v>-120</v>
      </c>
      <c r="H66" s="20">
        <v>-120</v>
      </c>
      <c r="I66" s="20">
        <v>-120</v>
      </c>
      <c r="J66" s="20">
        <v>-120</v>
      </c>
      <c r="K66" s="20">
        <v>-120</v>
      </c>
      <c r="L66" s="20">
        <v>-120</v>
      </c>
      <c r="M66" s="20">
        <v>-120</v>
      </c>
      <c r="N66" s="20">
        <v>-120</v>
      </c>
      <c r="O66" s="20">
        <v>-120</v>
      </c>
      <c r="P66" s="20">
        <v>-120</v>
      </c>
      <c r="Q66" s="20">
        <v>-120</v>
      </c>
      <c r="R66" s="20">
        <v>-120</v>
      </c>
      <c r="S66" s="20">
        <v>-120</v>
      </c>
      <c r="T66" s="20">
        <v>-120</v>
      </c>
      <c r="U66" s="20">
        <v>-120</v>
      </c>
      <c r="V66" s="20">
        <v>-120</v>
      </c>
      <c r="W66" s="20">
        <v>-120</v>
      </c>
      <c r="X66" s="20">
        <v>-120</v>
      </c>
      <c r="Y66" s="20">
        <v>-120</v>
      </c>
      <c r="Z66" s="20">
        <v>-120</v>
      </c>
      <c r="AA66" s="20">
        <v>-120</v>
      </c>
      <c r="AB66" s="20">
        <v>-120</v>
      </c>
      <c r="AC66" s="20">
        <v>-120</v>
      </c>
      <c r="AD66" s="20">
        <v>-120</v>
      </c>
      <c r="AE66" s="21"/>
      <c r="AF66" s="20">
        <v>-111.6</v>
      </c>
      <c r="AG66" s="20">
        <v>-129.6</v>
      </c>
      <c r="AH66" s="20">
        <v>-109.2</v>
      </c>
      <c r="AI66" s="20">
        <v>-132</v>
      </c>
      <c r="AJ66" s="20">
        <v>-114</v>
      </c>
      <c r="AK66" s="20">
        <v>-127.2</v>
      </c>
      <c r="AL66" s="20">
        <v>-111.6</v>
      </c>
      <c r="AM66" s="20">
        <v>-129.6</v>
      </c>
      <c r="AN66" s="20">
        <v>-109.2</v>
      </c>
      <c r="AO66" s="20">
        <v>-132</v>
      </c>
      <c r="AP66" s="20">
        <v>-114</v>
      </c>
      <c r="AQ66" s="20">
        <v>-127.2</v>
      </c>
      <c r="AR66" s="20">
        <v>-111.6</v>
      </c>
      <c r="AS66" s="20">
        <v>-129.6</v>
      </c>
      <c r="AT66" s="20">
        <v>-109.2</v>
      </c>
      <c r="AU66" s="20">
        <v>-132</v>
      </c>
      <c r="AV66" s="20">
        <v>-114</v>
      </c>
      <c r="AW66" s="20">
        <v>-127.2</v>
      </c>
      <c r="AX66" s="20">
        <v>-111.6</v>
      </c>
      <c r="AY66" s="20">
        <v>-129.6</v>
      </c>
      <c r="AZ66" s="20">
        <v>-109.2</v>
      </c>
      <c r="BA66" s="20">
        <v>-132</v>
      </c>
      <c r="BB66" s="20">
        <v>-114</v>
      </c>
      <c r="BC66" s="20">
        <v>-127.2</v>
      </c>
    </row>
    <row r="67" ht="15" customHeight="1">
      <c r="A67" s="19" t="s">
        <v>213</v>
      </c>
      <c r="B67" s="19" t="s">
        <v>223</v>
      </c>
      <c r="C67" s="19" t="s">
        <v>224</v>
      </c>
      <c r="D67" s="19">
        <v>3010</v>
      </c>
      <c r="E67" s="19" t="s">
        <v>226</v>
      </c>
      <c r="F67" s="19" t="s">
        <v>39</v>
      </c>
      <c r="G67" s="20">
        <v>-18400</v>
      </c>
      <c r="H67" s="20">
        <v>-18400</v>
      </c>
      <c r="I67" s="20">
        <v>-18400</v>
      </c>
      <c r="J67" s="20">
        <v>-18400</v>
      </c>
      <c r="K67" s="20">
        <v>-18400</v>
      </c>
      <c r="L67" s="20">
        <v>-18400</v>
      </c>
      <c r="M67" s="20">
        <v>-18400</v>
      </c>
      <c r="N67" s="20">
        <v>-18400</v>
      </c>
      <c r="O67" s="20">
        <v>-18400</v>
      </c>
      <c r="P67" s="20">
        <v>-18400</v>
      </c>
      <c r="Q67" s="20">
        <v>-18400</v>
      </c>
      <c r="R67" s="20">
        <v>-18400</v>
      </c>
      <c r="S67" s="20">
        <v>-18400</v>
      </c>
      <c r="T67" s="20">
        <v>-18400</v>
      </c>
      <c r="U67" s="20">
        <v>-18400</v>
      </c>
      <c r="V67" s="20">
        <v>-18400</v>
      </c>
      <c r="W67" s="20">
        <v>-18400</v>
      </c>
      <c r="X67" s="20">
        <v>-18400</v>
      </c>
      <c r="Y67" s="20">
        <v>-18400</v>
      </c>
      <c r="Z67" s="20">
        <v>-18400</v>
      </c>
      <c r="AA67" s="20">
        <v>-18400</v>
      </c>
      <c r="AB67" s="20">
        <v>-18400</v>
      </c>
      <c r="AC67" s="20">
        <v>-18400</v>
      </c>
      <c r="AD67" s="20">
        <v>-18400</v>
      </c>
      <c r="AE67" s="21"/>
      <c r="AF67" s="20">
        <v>-16928</v>
      </c>
      <c r="AG67" s="20">
        <v>-20056</v>
      </c>
      <c r="AH67" s="20">
        <v>-16560</v>
      </c>
      <c r="AI67" s="20">
        <v>-19320</v>
      </c>
      <c r="AJ67" s="20">
        <v>-17296</v>
      </c>
      <c r="AK67" s="20">
        <v>-19688</v>
      </c>
      <c r="AL67" s="20">
        <v>-16928</v>
      </c>
      <c r="AM67" s="20">
        <v>-20056</v>
      </c>
      <c r="AN67" s="20">
        <v>-16560</v>
      </c>
      <c r="AO67" s="20">
        <v>-19320</v>
      </c>
      <c r="AP67" s="20">
        <v>-17296</v>
      </c>
      <c r="AQ67" s="20">
        <v>-19688</v>
      </c>
      <c r="AR67" s="20">
        <v>-16928</v>
      </c>
      <c r="AS67" s="20">
        <v>-20056</v>
      </c>
      <c r="AT67" s="20">
        <v>-16560</v>
      </c>
      <c r="AU67" s="20">
        <v>-19320</v>
      </c>
      <c r="AV67" s="20">
        <v>-17296</v>
      </c>
      <c r="AW67" s="20">
        <v>-19688</v>
      </c>
      <c r="AX67" s="20">
        <v>-16928</v>
      </c>
      <c r="AY67" s="20">
        <v>-20056</v>
      </c>
      <c r="AZ67" s="20">
        <v>-16560</v>
      </c>
      <c r="BA67" s="20">
        <v>-19320</v>
      </c>
      <c r="BB67" s="20">
        <v>-17296</v>
      </c>
      <c r="BC67" s="20">
        <v>-19688</v>
      </c>
    </row>
    <row r="68" ht="15" customHeight="1">
      <c r="A68" s="19" t="s">
        <v>213</v>
      </c>
      <c r="B68" s="19" t="s">
        <v>223</v>
      </c>
      <c r="C68" s="19" t="s">
        <v>224</v>
      </c>
      <c r="D68" s="19">
        <v>3020</v>
      </c>
      <c r="E68" s="19" t="s">
        <v>227</v>
      </c>
      <c r="F68" s="19" t="s">
        <v>39</v>
      </c>
      <c r="G68" s="20">
        <v>-2350</v>
      </c>
      <c r="H68" s="20">
        <v>-2445</v>
      </c>
      <c r="I68" s="20">
        <v>-2540</v>
      </c>
      <c r="J68" s="20">
        <v>-2635</v>
      </c>
      <c r="K68" s="20">
        <v>-2730</v>
      </c>
      <c r="L68" s="20">
        <v>-2825</v>
      </c>
      <c r="M68" s="20">
        <v>-2920</v>
      </c>
      <c r="N68" s="20">
        <v>-3015</v>
      </c>
      <c r="O68" s="20">
        <v>-3110</v>
      </c>
      <c r="P68" s="20">
        <v>-3205</v>
      </c>
      <c r="Q68" s="20">
        <v>-3300</v>
      </c>
      <c r="R68" s="20">
        <v>-3395</v>
      </c>
      <c r="S68" s="20">
        <v>-3490</v>
      </c>
      <c r="T68" s="20">
        <v>-3585</v>
      </c>
      <c r="U68" s="20">
        <v>-3680</v>
      </c>
      <c r="V68" s="20">
        <v>-3775</v>
      </c>
      <c r="W68" s="20">
        <v>-3870</v>
      </c>
      <c r="X68" s="20">
        <v>-3965</v>
      </c>
      <c r="Y68" s="20">
        <v>-4060</v>
      </c>
      <c r="Z68" s="20">
        <v>-4155</v>
      </c>
      <c r="AA68" s="20">
        <v>-4250</v>
      </c>
      <c r="AB68" s="20">
        <v>-4345</v>
      </c>
      <c r="AC68" s="20">
        <v>-4440</v>
      </c>
      <c r="AD68" s="20">
        <v>-4535</v>
      </c>
      <c r="AE68" s="21"/>
      <c r="AF68" s="20">
        <v>-2138.5</v>
      </c>
      <c r="AG68" s="20">
        <v>-2689.5</v>
      </c>
      <c r="AH68" s="20">
        <v>-2413</v>
      </c>
      <c r="AI68" s="20">
        <v>-2793.1</v>
      </c>
      <c r="AJ68" s="20">
        <v>-2538.9</v>
      </c>
      <c r="AK68" s="20">
        <v>-3051</v>
      </c>
      <c r="AL68" s="20">
        <v>-2657.2</v>
      </c>
      <c r="AM68" s="20">
        <v>-3316.5</v>
      </c>
      <c r="AN68" s="20">
        <v>-2954.5</v>
      </c>
      <c r="AO68" s="20">
        <v>-3397.3</v>
      </c>
      <c r="AP68" s="20">
        <v>-3069</v>
      </c>
      <c r="AQ68" s="20">
        <v>-3666.6</v>
      </c>
      <c r="AR68" s="20">
        <v>-3175.9</v>
      </c>
      <c r="AS68" s="20">
        <v>-3943.5</v>
      </c>
      <c r="AT68" s="20">
        <v>-3496</v>
      </c>
      <c r="AU68" s="20">
        <v>-4001.5</v>
      </c>
      <c r="AV68" s="20">
        <v>-3599.1</v>
      </c>
      <c r="AW68" s="20">
        <v>-4282.2</v>
      </c>
      <c r="AX68" s="20">
        <v>-3694.6</v>
      </c>
      <c r="AY68" s="20">
        <v>-4570.5</v>
      </c>
      <c r="AZ68" s="20">
        <v>-4037.5</v>
      </c>
      <c r="BA68" s="20">
        <v>-4605.7</v>
      </c>
      <c r="BB68" s="20">
        <v>-4129.2</v>
      </c>
      <c r="BC68" s="20">
        <v>-4897.8</v>
      </c>
    </row>
    <row r="69" ht="15" customHeight="1">
      <c r="A69" s="19" t="s">
        <v>213</v>
      </c>
      <c r="B69" s="19" t="s">
        <v>223</v>
      </c>
      <c r="C69" s="19" t="s">
        <v>224</v>
      </c>
      <c r="D69" s="19">
        <v>3030</v>
      </c>
      <c r="E69" s="19" t="s">
        <v>228</v>
      </c>
      <c r="F69" s="19" t="s">
        <v>39</v>
      </c>
      <c r="G69" s="20">
        <v>180</v>
      </c>
      <c r="H69" s="20">
        <v>201.4</v>
      </c>
      <c r="I69" s="20">
        <v>219.5</v>
      </c>
      <c r="J69" s="20">
        <v>231.3</v>
      </c>
      <c r="K69" s="20">
        <v>235</v>
      </c>
      <c r="L69" s="20">
        <v>230</v>
      </c>
      <c r="M69" s="20">
        <v>217.2</v>
      </c>
      <c r="N69" s="20">
        <v>198.4</v>
      </c>
      <c r="O69" s="20">
        <v>176.8</v>
      </c>
      <c r="P69" s="20">
        <v>155.7</v>
      </c>
      <c r="Q69" s="20">
        <v>138.4</v>
      </c>
      <c r="R69" s="20">
        <v>127.7</v>
      </c>
      <c r="S69" s="20">
        <v>125.2</v>
      </c>
      <c r="T69" s="20">
        <v>131.4</v>
      </c>
      <c r="U69" s="20">
        <v>145.3</v>
      </c>
      <c r="V69" s="20">
        <v>164.6</v>
      </c>
      <c r="W69" s="20">
        <v>186.4</v>
      </c>
      <c r="X69" s="20">
        <v>207.2</v>
      </c>
      <c r="Y69" s="20">
        <v>223.7</v>
      </c>
      <c r="Z69" s="20">
        <v>233.2</v>
      </c>
      <c r="AA69" s="20">
        <v>234.4</v>
      </c>
      <c r="AB69" s="20">
        <v>227</v>
      </c>
      <c r="AC69" s="20">
        <v>212.2</v>
      </c>
      <c r="AD69" s="20">
        <v>192.3</v>
      </c>
      <c r="AE69" s="21"/>
      <c r="AF69" s="20">
        <v>162</v>
      </c>
      <c r="AG69" s="20">
        <v>211.5</v>
      </c>
      <c r="AH69" s="20">
        <v>206.3</v>
      </c>
      <c r="AI69" s="20">
        <v>247.5</v>
      </c>
      <c r="AJ69" s="20">
        <v>216.2</v>
      </c>
      <c r="AK69" s="20">
        <v>250.7</v>
      </c>
      <c r="AL69" s="20">
        <v>195.4</v>
      </c>
      <c r="AM69" s="20">
        <v>208.3</v>
      </c>
      <c r="AN69" s="20">
        <v>166.2</v>
      </c>
      <c r="AO69" s="20">
        <v>166.6</v>
      </c>
      <c r="AP69" s="20">
        <v>127.3</v>
      </c>
      <c r="AQ69" s="20">
        <v>139.2</v>
      </c>
      <c r="AR69" s="20">
        <v>112.7</v>
      </c>
      <c r="AS69" s="20">
        <v>138</v>
      </c>
      <c r="AT69" s="20">
        <v>136.6</v>
      </c>
      <c r="AU69" s="20">
        <v>176.2</v>
      </c>
      <c r="AV69" s="20">
        <v>171.5</v>
      </c>
      <c r="AW69" s="20">
        <v>225.8</v>
      </c>
      <c r="AX69" s="20">
        <v>201.3</v>
      </c>
      <c r="AY69" s="20">
        <v>244.9</v>
      </c>
      <c r="AZ69" s="20">
        <v>220.3</v>
      </c>
      <c r="BA69" s="20">
        <v>242.9</v>
      </c>
      <c r="BB69" s="20">
        <v>195.2</v>
      </c>
      <c r="BC69" s="20">
        <v>209.6</v>
      </c>
    </row>
    <row r="70" ht="15" customHeight="1">
      <c r="A70" s="19" t="s">
        <v>213</v>
      </c>
      <c r="B70" s="19" t="s">
        <v>223</v>
      </c>
      <c r="C70" s="19" t="s">
        <v>224</v>
      </c>
      <c r="D70" s="19">
        <v>3040</v>
      </c>
      <c r="E70" s="19" t="s">
        <v>229</v>
      </c>
      <c r="F70" s="19" t="s">
        <v>39</v>
      </c>
      <c r="G70" s="26">
        <f t="shared" si="5" ref="G70:BC70">-(G7+G13+G19+G29+G35+G43+G50+G56+G64+G65+G66+G67+G68+G69+G71)</f>
        <v>113632</v>
      </c>
      <c r="H70" s="26">
        <f t="shared" si="5"/>
        <v>111187.2</v>
      </c>
      <c r="I70" s="26">
        <f t="shared" si="5"/>
        <v>108996.7</v>
      </c>
      <c r="J70" s="26">
        <f t="shared" si="5"/>
        <v>107008.2</v>
      </c>
      <c r="K70" s="26">
        <f t="shared" si="5"/>
        <v>105425.4</v>
      </c>
      <c r="L70" s="26">
        <f t="shared" si="5"/>
        <v>104176.2</v>
      </c>
      <c r="M70" s="26">
        <f t="shared" si="5"/>
        <v>102899.4</v>
      </c>
      <c r="N70" s="26">
        <f t="shared" si="5"/>
        <v>101574.7</v>
      </c>
      <c r="O70" s="26">
        <f t="shared" si="5"/>
        <v>100414.5</v>
      </c>
      <c r="P70" s="26">
        <f t="shared" si="5"/>
        <v>99138.2</v>
      </c>
      <c r="Q70" s="26">
        <f t="shared" si="5"/>
        <v>97809.5</v>
      </c>
      <c r="R70" s="26">
        <f t="shared" si="5"/>
        <v>96565.4</v>
      </c>
      <c r="S70" s="26">
        <f t="shared" si="5"/>
        <v>94147.6</v>
      </c>
      <c r="T70" s="26">
        <f t="shared" si="5"/>
        <v>91739.8</v>
      </c>
      <c r="U70" s="26">
        <f t="shared" si="5"/>
        <v>89547.7</v>
      </c>
      <c r="V70" s="26">
        <f t="shared" si="5"/>
        <v>87494</v>
      </c>
      <c r="W70" s="26">
        <f t="shared" si="5"/>
        <v>85865.7</v>
      </c>
      <c r="X70" s="26">
        <f t="shared" si="5"/>
        <v>84616.4</v>
      </c>
      <c r="Y70" s="26">
        <f t="shared" si="5"/>
        <v>83336.1</v>
      </c>
      <c r="Z70" s="26">
        <f t="shared" si="5"/>
        <v>82060.6</v>
      </c>
      <c r="AA70" s="26">
        <f t="shared" si="5"/>
        <v>81116.3</v>
      </c>
      <c r="AB70" s="26">
        <f t="shared" si="5"/>
        <v>80156.2</v>
      </c>
      <c r="AC70" s="26">
        <f t="shared" si="5"/>
        <v>79255.6</v>
      </c>
      <c r="AD70" s="26">
        <f t="shared" si="5"/>
        <v>78555</v>
      </c>
      <c r="AE70" s="21"/>
      <c r="AF70" s="26">
        <f t="shared" si="5"/>
        <v>106972.70323233</v>
      </c>
      <c r="AG70" s="26">
        <f t="shared" si="5"/>
        <v>120618.828340438</v>
      </c>
      <c r="AH70" s="26">
        <f t="shared" si="5"/>
        <v>99204.964870627</v>
      </c>
      <c r="AI70" s="26">
        <f t="shared" si="5"/>
        <v>115961.913775974</v>
      </c>
      <c r="AJ70" s="26">
        <f t="shared" si="5"/>
        <v>97271.8161549936</v>
      </c>
      <c r="AK70" s="26">
        <f t="shared" si="5"/>
        <v>111568.235084688</v>
      </c>
      <c r="AL70" s="26">
        <f t="shared" si="5"/>
        <v>96360.03622539</v>
      </c>
      <c r="AM70" s="26">
        <f t="shared" si="5"/>
        <v>110350.299734228</v>
      </c>
      <c r="AN70" s="26">
        <f t="shared" si="5"/>
        <v>90519.408033244</v>
      </c>
      <c r="AO70" s="26">
        <f t="shared" si="5"/>
        <v>107740.474632912</v>
      </c>
      <c r="AP70" s="26">
        <f t="shared" si="5"/>
        <v>89745.1074401724</v>
      </c>
      <c r="AQ70" s="26">
        <f t="shared" si="5"/>
        <v>103575.521872841</v>
      </c>
      <c r="AR70" s="26">
        <f t="shared" si="5"/>
        <v>88146.0551680227</v>
      </c>
      <c r="AS70" s="26">
        <f t="shared" si="5"/>
        <v>100679.169996392</v>
      </c>
      <c r="AT70" s="26">
        <f t="shared" si="5"/>
        <v>80518.8026796166</v>
      </c>
      <c r="AU70" s="26">
        <f t="shared" si="5"/>
        <v>95771.4249541225</v>
      </c>
      <c r="AV70" s="26">
        <f t="shared" si="5"/>
        <v>78656.8068018938</v>
      </c>
      <c r="AW70" s="26">
        <f t="shared" si="5"/>
        <v>90968.8159183422</v>
      </c>
      <c r="AX70" s="26">
        <f t="shared" si="5"/>
        <v>77548.4283773764</v>
      </c>
      <c r="AY70" s="26">
        <f t="shared" si="5"/>
        <v>90167.5194154414</v>
      </c>
      <c r="AZ70" s="26">
        <f t="shared" si="5"/>
        <v>72064.8554571266</v>
      </c>
      <c r="BA70" s="26">
        <f t="shared" si="5"/>
        <v>87797.1823207657</v>
      </c>
      <c r="BB70" s="26">
        <f t="shared" si="5"/>
        <v>72263.1416301408</v>
      </c>
      <c r="BC70" s="26">
        <f t="shared" si="5"/>
        <v>84581.0436478273</v>
      </c>
    </row>
    <row r="71" ht="15" customHeight="1">
      <c r="A71" s="19" t="s">
        <v>213</v>
      </c>
      <c r="B71" s="19" t="s">
        <v>223</v>
      </c>
      <c r="C71" s="19" t="s">
        <v>224</v>
      </c>
      <c r="D71" s="19">
        <v>3995</v>
      </c>
      <c r="E71" s="19" t="s">
        <v>230</v>
      </c>
      <c r="F71" s="19" t="s">
        <v>39</v>
      </c>
      <c r="G71" s="27">
        <f>-SUM(UK_PL_EUR!$G$95:G95)</f>
        <v>1178</v>
      </c>
      <c r="H71" s="27">
        <f>-SUM(UK_PL_EUR!$G$95:H95)</f>
        <v>2290</v>
      </c>
      <c r="I71" s="27">
        <f>-SUM(UK_PL_EUR!$G$95:I95)</f>
        <v>3280.9</v>
      </c>
      <c r="J71" s="27">
        <f>-SUM(UK_PL_EUR!$G$95:J95)</f>
        <v>4303.3</v>
      </c>
      <c r="K71" s="27">
        <f>-SUM(UK_PL_EUR!$G$95:K95)</f>
        <v>5197.3</v>
      </c>
      <c r="L71" s="27">
        <f>-SUM(UK_PL_EUR!$G$95:L95)</f>
        <v>6012</v>
      </c>
      <c r="M71" s="27">
        <f>-SUM(UK_PL_EUR!$G$95:M95)</f>
        <v>7024</v>
      </c>
      <c r="N71" s="27">
        <f>-SUM(UK_PL_EUR!$G$95:N95)</f>
        <v>8128.6</v>
      </c>
      <c r="O71" s="27">
        <f>-SUM(UK_PL_EUR!$G$95:O95)</f>
        <v>8977.3</v>
      </c>
      <c r="P71" s="27">
        <f>-SUM(UK_PL_EUR!$G$95:P95)</f>
        <v>9738.7</v>
      </c>
      <c r="Q71" s="27">
        <f>-SUM(UK_PL_EUR!$G$95:Q95)</f>
        <v>10285.7</v>
      </c>
      <c r="R71" s="27">
        <f>-SUM(UK_PL_EUR!$G$95:R95)</f>
        <v>10483.9</v>
      </c>
      <c r="S71" s="27">
        <f>-SUM(UK_PL_EUR!$G$95:S95)</f>
        <v>11408.5</v>
      </c>
      <c r="T71" s="27">
        <f>-SUM(UK_PL_EUR!$G$95:T95)</f>
        <v>12239.2</v>
      </c>
      <c r="U71" s="27">
        <f>-SUM(UK_PL_EUR!$G$95:U95)</f>
        <v>12905.2</v>
      </c>
      <c r="V71" s="27">
        <f>-SUM(UK_PL_EUR!$G$95:V95)</f>
        <v>13604.6</v>
      </c>
      <c r="W71" s="27">
        <f>-SUM(UK_PL_EUR!$G$95:W95)</f>
        <v>14129.5</v>
      </c>
      <c r="X71" s="27">
        <f>-SUM(UK_PL_EUR!$G$95:X95)</f>
        <v>14542.9</v>
      </c>
      <c r="Y71" s="27">
        <f>-SUM(UK_PL_EUR!$G$95:Y95)</f>
        <v>15207.6</v>
      </c>
      <c r="Z71" s="27">
        <f>-SUM(UK_PL_EUR!$G$95:Z95)</f>
        <v>15985.6</v>
      </c>
      <c r="AA71" s="27">
        <f>-SUM(UK_PL_EUR!$G$95:AA95)</f>
        <v>16420.8</v>
      </c>
      <c r="AB71" s="27">
        <f>-SUM(UK_PL_EUR!$G$95:AB95)</f>
        <v>16734.2</v>
      </c>
      <c r="AC71" s="27">
        <f>-SUM(UK_PL_EUR!$G$95:AC95)</f>
        <v>16759.5</v>
      </c>
      <c r="AD71" s="27">
        <f>-SUM(UK_PL_EUR!$G$95:AD95)</f>
        <v>16320.4</v>
      </c>
      <c r="AE71" s="21"/>
      <c r="AF71" s="27">
        <f>-SUM(UK_PL_EUR!$AF$95:AF95)</f>
        <v>1044.09676766975</v>
      </c>
      <c r="AG71" s="27">
        <f>-SUM(UK_PL_EUR!$AF$95:AG95)</f>
        <v>2043.47165956168</v>
      </c>
      <c r="AH71" s="27">
        <f>-SUM(UK_PL_EUR!$AF$95:AH95)</f>
        <v>3133.73512937305</v>
      </c>
      <c r="AI71" s="27">
        <f>-SUM(UK_PL_EUR!$AF$95:AI95)</f>
        <v>4237.6862240264</v>
      </c>
      <c r="AJ71" s="27">
        <f>-SUM(UK_PL_EUR!$AF$95:AJ95)</f>
        <v>5117.88384500643</v>
      </c>
      <c r="AK71" s="27">
        <f>-SUM(UK_PL_EUR!$AF$95:AK95)</f>
        <v>5938.06491531198</v>
      </c>
      <c r="AL71" s="27">
        <f>-SUM(UK_PL_EUR!$AF$95:AL95)</f>
        <v>7110.86377460997</v>
      </c>
      <c r="AM71" s="27">
        <f>-SUM(UK_PL_EUR!$AF$95:AM95)</f>
        <v>8359.90026577238</v>
      </c>
      <c r="AN71" s="27">
        <f>-SUM(UK_PL_EUR!$AF$95:AN95)</f>
        <v>9134.49196675598</v>
      </c>
      <c r="AO71" s="27">
        <f>-SUM(UK_PL_EUR!$AF$95:AO95)</f>
        <v>9846.62536708756</v>
      </c>
      <c r="AP71" s="27">
        <f>-SUM(UK_PL_EUR!$AF$95:AP95)</f>
        <v>10360.5925598276</v>
      </c>
      <c r="AQ71" s="27">
        <f>-SUM(UK_PL_EUR!$AF$95:AQ95)</f>
        <v>10469.5781271586</v>
      </c>
      <c r="AR71" s="27">
        <f>-SUM(UK_PL_EUR!$AF$95:AR95)</f>
        <v>11262.1448319773</v>
      </c>
      <c r="AS71" s="27">
        <f>-SUM(UK_PL_EUR!$AF$95:AS95)</f>
        <v>11987.2300036077</v>
      </c>
      <c r="AT71" s="27">
        <f>-SUM(UK_PL_EUR!$AF$95:AT95)</f>
        <v>12733.9973203834</v>
      </c>
      <c r="AU71" s="27">
        <f>-SUM(UK_PL_EUR!$AF$95:AU95)</f>
        <v>13487.3750458775</v>
      </c>
      <c r="AV71" s="27">
        <f>-SUM(UK_PL_EUR!$AF$95:AV95)</f>
        <v>14041.9931981062</v>
      </c>
      <c r="AW71" s="27">
        <f>-SUM(UK_PL_EUR!$AF$95:AW95)</f>
        <v>14507.3840816578</v>
      </c>
      <c r="AX71" s="27">
        <f>-SUM(UK_PL_EUR!$AF$95:AX95)</f>
        <v>15328.0716226236</v>
      </c>
      <c r="AY71" s="27">
        <f>-SUM(UK_PL_EUR!$AF$95:AY95)</f>
        <v>16243.0805845586</v>
      </c>
      <c r="AZ71" s="27">
        <f>-SUM(UK_PL_EUR!$AF$95:AZ95)</f>
        <v>16626.5445428734</v>
      </c>
      <c r="BA71" s="27">
        <f>-SUM(UK_PL_EUR!$AF$95:BA95)</f>
        <v>16923.5176792343</v>
      </c>
      <c r="BB71" s="27">
        <f>-SUM(UK_PL_EUR!$AF$95:BB95)</f>
        <v>16845.2583698592</v>
      </c>
      <c r="BC71" s="27">
        <f>-SUM(UK_PL_EUR!$AF$95:BC95)</f>
        <v>16232.9563521727</v>
      </c>
    </row>
    <row r="72" ht="15" customHeight="1">
      <c r="A72" s="22" t="s">
        <v>213</v>
      </c>
      <c r="B72" s="22" t="s">
        <v>223</v>
      </c>
      <c r="C72" s="22" t="s">
        <v>42</v>
      </c>
      <c r="D72" s="22" t="s">
        <v>43</v>
      </c>
      <c r="E72" s="22" t="s">
        <v>231</v>
      </c>
      <c r="F72" s="22" t="s">
        <v>39</v>
      </c>
      <c r="G72" s="23">
        <f t="shared" si="3"/>
        <v>94120</v>
      </c>
      <c r="H72" s="23">
        <f t="shared" si="3"/>
        <v>92713.6</v>
      </c>
      <c r="I72" s="23">
        <f t="shared" si="3"/>
        <v>91437.1</v>
      </c>
      <c r="J72" s="23">
        <f t="shared" si="3"/>
        <v>90387.8</v>
      </c>
      <c r="K72" s="23">
        <f t="shared" si="3"/>
        <v>89607.7</v>
      </c>
      <c r="L72" s="23">
        <f t="shared" si="3"/>
        <v>89073.2</v>
      </c>
      <c r="M72" s="23">
        <f t="shared" si="3"/>
        <v>88700.6</v>
      </c>
      <c r="N72" s="23">
        <f t="shared" si="3"/>
        <v>88366.7</v>
      </c>
      <c r="O72" s="23">
        <f t="shared" si="3"/>
        <v>87938.6</v>
      </c>
      <c r="P72" s="23">
        <f t="shared" si="3"/>
        <v>87307.6</v>
      </c>
      <c r="Q72" s="23">
        <f t="shared" si="3"/>
        <v>86413.6</v>
      </c>
      <c r="R72" s="23">
        <f t="shared" si="3"/>
        <v>85262</v>
      </c>
      <c r="S72" s="23">
        <f t="shared" si="3"/>
        <v>83671.3</v>
      </c>
      <c r="T72" s="23">
        <f t="shared" si="3"/>
        <v>82005.4</v>
      </c>
      <c r="U72" s="23">
        <f t="shared" si="3"/>
        <v>80398.2</v>
      </c>
      <c r="V72" s="23">
        <f t="shared" si="3"/>
        <v>78968.2</v>
      </c>
      <c r="W72" s="23">
        <f t="shared" si="3"/>
        <v>77791.6</v>
      </c>
      <c r="X72" s="23">
        <f t="shared" si="3"/>
        <v>76881.5</v>
      </c>
      <c r="Y72" s="23">
        <f t="shared" si="3"/>
        <v>76187.4</v>
      </c>
      <c r="Z72" s="23">
        <f t="shared" si="3"/>
        <v>75604.4</v>
      </c>
      <c r="AA72" s="23">
        <f t="shared" si="3"/>
        <v>75001.5</v>
      </c>
      <c r="AB72" s="23">
        <f t="shared" si="3"/>
        <v>74252.4</v>
      </c>
      <c r="AC72" s="23">
        <f t="shared" si="3"/>
        <v>73267.3</v>
      </c>
      <c r="AD72" s="23">
        <f t="shared" si="3"/>
        <v>72012.7</v>
      </c>
      <c r="AE72" s="24"/>
      <c r="AF72" s="23">
        <f t="shared" si="3"/>
        <v>89000.6999999997</v>
      </c>
      <c r="AG72" s="23">
        <f t="shared" si="3"/>
        <v>99998.6999999997</v>
      </c>
      <c r="AH72" s="23">
        <f t="shared" si="3"/>
        <v>83462.8</v>
      </c>
      <c r="AI72" s="23">
        <f t="shared" si="3"/>
        <v>98202.0000000004</v>
      </c>
      <c r="AJ72" s="23">
        <f t="shared" si="3"/>
        <v>82657</v>
      </c>
      <c r="AK72" s="23">
        <f t="shared" si="3"/>
        <v>94890.8</v>
      </c>
      <c r="AL72" s="23">
        <f t="shared" si="3"/>
        <v>83969.5</v>
      </c>
      <c r="AM72" s="23">
        <f t="shared" si="3"/>
        <v>95416.4000000004</v>
      </c>
      <c r="AN72" s="23">
        <f t="shared" si="3"/>
        <v>80196.4</v>
      </c>
      <c r="AO72" s="23">
        <f t="shared" si="3"/>
        <v>94904.3999999996</v>
      </c>
      <c r="AP72" s="23">
        <f t="shared" si="3"/>
        <v>79754</v>
      </c>
      <c r="AQ72" s="23">
        <f t="shared" si="3"/>
        <v>90702.4999999996</v>
      </c>
      <c r="AR72" s="23">
        <f t="shared" si="3"/>
        <v>79305.4</v>
      </c>
      <c r="AS72" s="23">
        <f t="shared" si="3"/>
        <v>88675.2999999997</v>
      </c>
      <c r="AT72" s="23">
        <f t="shared" si="3"/>
        <v>73224.2</v>
      </c>
      <c r="AU72" s="23">
        <f t="shared" si="3"/>
        <v>85981.5</v>
      </c>
      <c r="AV72" s="23">
        <f t="shared" si="3"/>
        <v>71861.2</v>
      </c>
      <c r="AW72" s="23">
        <f t="shared" si="3"/>
        <v>81604.6</v>
      </c>
      <c r="AX72" s="23">
        <f t="shared" si="3"/>
        <v>72343.6</v>
      </c>
      <c r="AY72" s="23">
        <f t="shared" si="3"/>
        <v>81899.4</v>
      </c>
      <c r="AZ72" s="23">
        <f t="shared" si="3"/>
        <v>68205</v>
      </c>
      <c r="BA72" s="23">
        <f t="shared" si="3"/>
        <v>80905.9</v>
      </c>
      <c r="BB72" s="23">
        <f t="shared" si="3"/>
        <v>67764.4</v>
      </c>
      <c r="BC72" s="23">
        <f t="shared" si="3"/>
        <v>76310.6</v>
      </c>
    </row>
    <row r="73" ht="15" customHeight="1">
      <c r="A73" s="19" t="s">
        <v>45</v>
      </c>
      <c r="B73" s="19" t="s">
        <v>45</v>
      </c>
      <c r="C73" s="19" t="s">
        <v>45</v>
      </c>
      <c r="D73" s="19" t="s">
        <v>45</v>
      </c>
      <c r="E73" s="19" t="s">
        <v>45</v>
      </c>
      <c r="F73" s="19" t="s">
        <v>45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1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</row>
    <row r="74" ht="15" customHeight="1">
      <c r="A74" s="28" t="s">
        <v>213</v>
      </c>
      <c r="B74" s="28" t="s">
        <v>232</v>
      </c>
      <c r="C74" s="28" t="s">
        <v>148</v>
      </c>
      <c r="D74" s="28" t="s">
        <v>149</v>
      </c>
      <c r="E74" s="28" t="s">
        <v>233</v>
      </c>
      <c r="F74" s="28" t="s">
        <v>39</v>
      </c>
      <c r="G74" s="29">
        <f t="shared" si="6" ref="G74:BC74">ROUND(G7+G13+G19+G29+G35+G43+G50+G56+G64+G72,6)</f>
        <v>0</v>
      </c>
      <c r="H74" s="29">
        <f t="shared" si="6"/>
        <v>0</v>
      </c>
      <c r="I74" s="29">
        <f t="shared" si="6"/>
        <v>0</v>
      </c>
      <c r="J74" s="29">
        <f t="shared" si="6"/>
        <v>0</v>
      </c>
      <c r="K74" s="29">
        <f t="shared" si="6"/>
        <v>0</v>
      </c>
      <c r="L74" s="29">
        <f t="shared" si="6"/>
        <v>0</v>
      </c>
      <c r="M74" s="29">
        <f t="shared" si="6"/>
        <v>0</v>
      </c>
      <c r="N74" s="29">
        <f t="shared" si="6"/>
        <v>0</v>
      </c>
      <c r="O74" s="29">
        <f t="shared" si="6"/>
        <v>0</v>
      </c>
      <c r="P74" s="29">
        <f t="shared" si="6"/>
        <v>0</v>
      </c>
      <c r="Q74" s="29">
        <f t="shared" si="6"/>
        <v>0</v>
      </c>
      <c r="R74" s="29">
        <f t="shared" si="6"/>
        <v>0</v>
      </c>
      <c r="S74" s="29">
        <f t="shared" si="6"/>
        <v>0</v>
      </c>
      <c r="T74" s="29">
        <f t="shared" si="6"/>
        <v>0</v>
      </c>
      <c r="U74" s="29">
        <f t="shared" si="6"/>
        <v>0</v>
      </c>
      <c r="V74" s="29">
        <f t="shared" si="6"/>
        <v>0</v>
      </c>
      <c r="W74" s="29">
        <f t="shared" si="6"/>
        <v>0</v>
      </c>
      <c r="X74" s="29">
        <f t="shared" si="6"/>
        <v>0</v>
      </c>
      <c r="Y74" s="29">
        <f t="shared" si="6"/>
        <v>0</v>
      </c>
      <c r="Z74" s="29">
        <f t="shared" si="6"/>
        <v>0</v>
      </c>
      <c r="AA74" s="29">
        <f t="shared" si="6"/>
        <v>0</v>
      </c>
      <c r="AB74" s="29">
        <f t="shared" si="6"/>
        <v>0</v>
      </c>
      <c r="AC74" s="29">
        <f t="shared" si="6"/>
        <v>0</v>
      </c>
      <c r="AD74" s="29">
        <f t="shared" si="6"/>
        <v>0</v>
      </c>
      <c r="AE74" s="30"/>
      <c r="AF74" s="29">
        <f t="shared" si="6"/>
        <v>0</v>
      </c>
      <c r="AG74" s="29">
        <f t="shared" si="6"/>
        <v>0</v>
      </c>
      <c r="AH74" s="29">
        <f t="shared" si="6"/>
        <v>0</v>
      </c>
      <c r="AI74" s="29">
        <f t="shared" si="6"/>
        <v>0</v>
      </c>
      <c r="AJ74" s="29">
        <f t="shared" si="6"/>
        <v>0</v>
      </c>
      <c r="AK74" s="29">
        <f t="shared" si="6"/>
        <v>0</v>
      </c>
      <c r="AL74" s="29">
        <f t="shared" si="6"/>
        <v>0</v>
      </c>
      <c r="AM74" s="29">
        <f t="shared" si="6"/>
        <v>0</v>
      </c>
      <c r="AN74" s="29">
        <f t="shared" si="6"/>
        <v>0</v>
      </c>
      <c r="AO74" s="29">
        <f t="shared" si="6"/>
        <v>0</v>
      </c>
      <c r="AP74" s="29">
        <f t="shared" si="6"/>
        <v>0</v>
      </c>
      <c r="AQ74" s="29">
        <f t="shared" si="6"/>
        <v>0</v>
      </c>
      <c r="AR74" s="29">
        <f t="shared" si="6"/>
        <v>0</v>
      </c>
      <c r="AS74" s="29">
        <f t="shared" si="6"/>
        <v>0</v>
      </c>
      <c r="AT74" s="29">
        <f t="shared" si="6"/>
        <v>0</v>
      </c>
      <c r="AU74" s="29">
        <f t="shared" si="6"/>
        <v>0</v>
      </c>
      <c r="AV74" s="29">
        <f t="shared" si="6"/>
        <v>0</v>
      </c>
      <c r="AW74" s="29">
        <f t="shared" si="6"/>
        <v>0</v>
      </c>
      <c r="AX74" s="29">
        <f t="shared" si="6"/>
        <v>0</v>
      </c>
      <c r="AY74" s="29">
        <f t="shared" si="6"/>
        <v>0</v>
      </c>
      <c r="AZ74" s="29">
        <f t="shared" si="6"/>
        <v>0</v>
      </c>
      <c r="BA74" s="29">
        <f t="shared" si="6"/>
        <v>0</v>
      </c>
      <c r="BB74" s="29">
        <f t="shared" si="6"/>
        <v>0</v>
      </c>
      <c r="BC74" s="29">
        <f t="shared" si="6"/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A5D3093-1289-6928-6D08-B5727D12FDE4}" mc:Ignorable="x14ac xr xr2 xr3">
  <dimension ref="A1:CV10000"/>
  <sheetViews>
    <sheetView showGridLines="0" workbookViewId="0">
      <pane xSplit="6" ySplit="3" topLeftCell="G4" activePane="bottomRight" state="frozen"/>
      <selection pane="bottomLeft" activeCell="A4" sqref="A4"/>
      <selection pane="topRight" activeCell="G1" sqref="G1"/>
      <selection pane="bottomRight" activeCell="A1" sqref="A1"/>
    </sheetView>
  </sheetViews>
  <sheetFormatPr defaultRowHeight="15" defaultColWidth="7.75390625" customHeight="1"/>
  <cols>
    <col min="1" max="1" width="16.25390625" customWidth="1"/>
    <col min="2" max="2" width="18.75390625" customWidth="1"/>
    <col min="3" max="3" width="10.625" customWidth="1"/>
    <col min="4" max="4" width="10.00390625" customWidth="1"/>
    <col min="5" max="5" width="23.75390625" customWidth="1"/>
    <col min="6" max="6" width="8.125" customWidth="1"/>
    <col min="7" max="30" width="9.00390625" customWidth="1"/>
    <col min="31" max="31" width="2.25390625" customWidth="1"/>
    <col min="32" max="55" width="9.00390625" customWidth="1"/>
  </cols>
  <sheetData>
    <row r="1" ht="15" customHeight="1">
      <c r="A1" s="15" t="s">
        <v>234</v>
      </c>
      <c r="B1" s="15" t="s">
        <v>235</v>
      </c>
      <c r="C1" s="15"/>
      <c r="D1" s="15"/>
      <c r="E1" s="15" t="s">
        <v>236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ht="15" customHeight="1">
      <c r="A2" s="17"/>
      <c r="B2" s="17"/>
      <c r="C2" s="17"/>
      <c r="D2" s="17"/>
      <c r="E2" s="17"/>
      <c r="F2" s="17"/>
      <c r="G2" s="17" t="s">
        <v>237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/>
      <c r="AF2" s="17" t="s">
        <v>4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ht="22.5" customHeight="1">
      <c r="A3" s="17" t="s">
        <v>5</v>
      </c>
      <c r="B3" s="17" t="s">
        <v>6</v>
      </c>
      <c r="C3" s="17" t="s">
        <v>7</v>
      </c>
      <c r="D3" s="17" t="s">
        <v>238</v>
      </c>
      <c r="E3" s="17" t="s">
        <v>239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7" t="s">
        <v>26</v>
      </c>
      <c r="W3" s="17" t="s">
        <v>27</v>
      </c>
      <c r="X3" s="17" t="s">
        <v>28</v>
      </c>
      <c r="Y3" s="17" t="s">
        <v>29</v>
      </c>
      <c r="Z3" s="17" t="s">
        <v>30</v>
      </c>
      <c r="AA3" s="17" t="s">
        <v>31</v>
      </c>
      <c r="AB3" s="17" t="s">
        <v>32</v>
      </c>
      <c r="AC3" s="17" t="s">
        <v>33</v>
      </c>
      <c r="AD3" s="17" t="s">
        <v>34</v>
      </c>
      <c r="AE3" s="18"/>
      <c r="AF3" s="17" t="s">
        <v>11</v>
      </c>
      <c r="AG3" s="17" t="s">
        <v>12</v>
      </c>
      <c r="AH3" s="17" t="s">
        <v>13</v>
      </c>
      <c r="AI3" s="17" t="s">
        <v>14</v>
      </c>
      <c r="AJ3" s="17" t="s">
        <v>15</v>
      </c>
      <c r="AK3" s="17" t="s">
        <v>16</v>
      </c>
      <c r="AL3" s="17" t="s">
        <v>17</v>
      </c>
      <c r="AM3" s="17" t="s">
        <v>18</v>
      </c>
      <c r="AN3" s="17" t="s">
        <v>19</v>
      </c>
      <c r="AO3" s="17" t="s">
        <v>20</v>
      </c>
      <c r="AP3" s="17" t="s">
        <v>21</v>
      </c>
      <c r="AQ3" s="17" t="s">
        <v>22</v>
      </c>
      <c r="AR3" s="17" t="s">
        <v>23</v>
      </c>
      <c r="AS3" s="17" t="s">
        <v>24</v>
      </c>
      <c r="AT3" s="17" t="s">
        <v>25</v>
      </c>
      <c r="AU3" s="17" t="s">
        <v>26</v>
      </c>
      <c r="AV3" s="17" t="s">
        <v>27</v>
      </c>
      <c r="AW3" s="17" t="s">
        <v>28</v>
      </c>
      <c r="AX3" s="17" t="s">
        <v>29</v>
      </c>
      <c r="AY3" s="17" t="s">
        <v>30</v>
      </c>
      <c r="AZ3" s="17" t="s">
        <v>31</v>
      </c>
      <c r="BA3" s="17" t="s">
        <v>32</v>
      </c>
      <c r="BB3" s="17" t="s">
        <v>33</v>
      </c>
      <c r="BC3" s="17" t="s">
        <v>34</v>
      </c>
    </row>
    <row r="4" ht="15" customHeight="1">
      <c r="A4" s="19" t="s">
        <v>240</v>
      </c>
      <c r="B4" s="19" t="s">
        <v>241</v>
      </c>
      <c r="C4" s="19" t="s">
        <v>242</v>
      </c>
      <c r="D4" s="19" t="s">
        <v>243</v>
      </c>
      <c r="E4" s="19" t="s">
        <v>244</v>
      </c>
      <c r="F4" s="19" t="s">
        <v>245</v>
      </c>
      <c r="G4" s="31">
        <v>57.2</v>
      </c>
      <c r="H4" s="31">
        <v>58.733</v>
      </c>
      <c r="I4" s="31">
        <v>60.075</v>
      </c>
      <c r="J4" s="31">
        <v>61.192</v>
      </c>
      <c r="K4" s="31">
        <v>62.288</v>
      </c>
      <c r="L4" s="31">
        <v>63.625</v>
      </c>
      <c r="M4" s="31">
        <v>65.278</v>
      </c>
      <c r="N4" s="31">
        <v>67.06</v>
      </c>
      <c r="O4" s="31">
        <v>68.682</v>
      </c>
      <c r="P4" s="31">
        <v>70.026</v>
      </c>
      <c r="Q4" s="31">
        <v>71.26</v>
      </c>
      <c r="R4" s="31">
        <v>72.697</v>
      </c>
      <c r="S4" s="31">
        <v>74.506</v>
      </c>
      <c r="T4" s="31">
        <v>76.547</v>
      </c>
      <c r="U4" s="31">
        <v>78.493</v>
      </c>
      <c r="V4" s="31">
        <v>80.123</v>
      </c>
      <c r="W4" s="31">
        <v>81.542</v>
      </c>
      <c r="X4" s="31">
        <v>83.096</v>
      </c>
      <c r="Y4" s="31">
        <v>85.055</v>
      </c>
      <c r="Z4" s="31">
        <v>87.362</v>
      </c>
      <c r="AA4" s="31">
        <v>89.669</v>
      </c>
      <c r="AB4" s="31">
        <v>91.651</v>
      </c>
      <c r="AC4" s="31">
        <v>93.319</v>
      </c>
      <c r="AD4" s="31">
        <v>95.019</v>
      </c>
      <c r="AE4" s="32"/>
      <c r="AF4" s="31">
        <v>60.211</v>
      </c>
      <c r="AG4" s="31">
        <v>55.409</v>
      </c>
      <c r="AH4" s="31">
        <v>64.597</v>
      </c>
      <c r="AI4" s="31">
        <v>56.659</v>
      </c>
      <c r="AJ4" s="31">
        <v>68.448</v>
      </c>
      <c r="AK4" s="31">
        <v>57.841</v>
      </c>
      <c r="AL4" s="31">
        <v>68.714</v>
      </c>
      <c r="AM4" s="31">
        <v>63.264</v>
      </c>
      <c r="AN4" s="31">
        <v>73.852</v>
      </c>
      <c r="AO4" s="31">
        <v>64.839</v>
      </c>
      <c r="AP4" s="31">
        <v>78.308</v>
      </c>
      <c r="AQ4" s="31">
        <v>66.088</v>
      </c>
      <c r="AR4" s="31">
        <v>78.427</v>
      </c>
      <c r="AS4" s="31">
        <v>72.215</v>
      </c>
      <c r="AT4" s="31">
        <v>84.401</v>
      </c>
      <c r="AU4" s="31">
        <v>74.188</v>
      </c>
      <c r="AV4" s="31">
        <v>89.607</v>
      </c>
      <c r="AW4" s="31">
        <v>75.542</v>
      </c>
      <c r="AX4" s="31">
        <v>89.532</v>
      </c>
      <c r="AY4" s="31">
        <v>82.417</v>
      </c>
      <c r="AZ4" s="31">
        <v>96.418</v>
      </c>
      <c r="BA4" s="31">
        <v>84.862</v>
      </c>
      <c r="BB4" s="31">
        <v>102.548</v>
      </c>
      <c r="BC4" s="31">
        <v>86.381</v>
      </c>
    </row>
    <row r="5" ht="15" customHeight="1">
      <c r="A5" s="19" t="s">
        <v>240</v>
      </c>
      <c r="B5" s="19" t="s">
        <v>241</v>
      </c>
      <c r="C5" s="19" t="s">
        <v>242</v>
      </c>
      <c r="D5" s="19" t="s">
        <v>246</v>
      </c>
      <c r="E5" s="19" t="s">
        <v>247</v>
      </c>
      <c r="F5" s="19" t="s">
        <v>245</v>
      </c>
      <c r="G5" s="31">
        <v>1.15</v>
      </c>
      <c r="H5" s="31">
        <v>1.285</v>
      </c>
      <c r="I5" s="31">
        <v>1.386</v>
      </c>
      <c r="J5" s="31">
        <v>1.432</v>
      </c>
      <c r="K5" s="31">
        <v>1.418</v>
      </c>
      <c r="L5" s="31">
        <v>1.361</v>
      </c>
      <c r="M5" s="31">
        <v>1.292</v>
      </c>
      <c r="N5" s="31">
        <v>1.246</v>
      </c>
      <c r="O5" s="31">
        <v>1.25</v>
      </c>
      <c r="P5" s="31">
        <v>1.315</v>
      </c>
      <c r="Q5" s="31">
        <v>1.43</v>
      </c>
      <c r="R5" s="31">
        <v>1.569</v>
      </c>
      <c r="S5" s="31">
        <v>1.696</v>
      </c>
      <c r="T5" s="31">
        <v>1.781</v>
      </c>
      <c r="U5" s="31">
        <v>1.807</v>
      </c>
      <c r="V5" s="31">
        <v>1.777</v>
      </c>
      <c r="W5" s="31">
        <v>1.712</v>
      </c>
      <c r="X5" s="31">
        <v>1.647</v>
      </c>
      <c r="Y5" s="31">
        <v>1.615</v>
      </c>
      <c r="Z5" s="31">
        <v>1.638</v>
      </c>
      <c r="AA5" s="31">
        <v>1.721</v>
      </c>
      <c r="AB5" s="31">
        <v>1.847</v>
      </c>
      <c r="AC5" s="31">
        <v>1.986</v>
      </c>
      <c r="AD5" s="31">
        <v>2.103</v>
      </c>
      <c r="AE5" s="32"/>
      <c r="AF5" s="31">
        <v>1.223</v>
      </c>
      <c r="AG5" s="31">
        <v>1.201</v>
      </c>
      <c r="AH5" s="31">
        <v>1.507</v>
      </c>
      <c r="AI5" s="31">
        <v>1.313</v>
      </c>
      <c r="AJ5" s="31">
        <v>1.575</v>
      </c>
      <c r="AK5" s="31">
        <v>1.296</v>
      </c>
      <c r="AL5" s="31">
        <v>1.374</v>
      </c>
      <c r="AM5" s="31">
        <v>1.164</v>
      </c>
      <c r="AN5" s="31">
        <v>1.359</v>
      </c>
      <c r="AO5" s="31">
        <v>1.206</v>
      </c>
      <c r="AP5" s="31">
        <v>1.589</v>
      </c>
      <c r="AQ5" s="31">
        <v>1.494</v>
      </c>
      <c r="AR5" s="31">
        <v>1.804</v>
      </c>
      <c r="AS5" s="31">
        <v>1.665</v>
      </c>
      <c r="AT5" s="31">
        <v>1.964</v>
      </c>
      <c r="AU5" s="31">
        <v>1.63</v>
      </c>
      <c r="AV5" s="31">
        <v>1.903</v>
      </c>
      <c r="AW5" s="31">
        <v>1.569</v>
      </c>
      <c r="AX5" s="31">
        <v>1.718</v>
      </c>
      <c r="AY5" s="31">
        <v>1.531</v>
      </c>
      <c r="AZ5" s="31">
        <v>1.87</v>
      </c>
      <c r="BA5" s="31">
        <v>1.694</v>
      </c>
      <c r="BB5" s="31">
        <v>2.207</v>
      </c>
      <c r="BC5" s="31">
        <v>2.003</v>
      </c>
    </row>
    <row r="6" ht="15" customHeight="1">
      <c r="A6" s="19" t="s">
        <v>240</v>
      </c>
      <c r="B6" s="19" t="s">
        <v>241</v>
      </c>
      <c r="C6" s="19" t="s">
        <v>242</v>
      </c>
      <c r="D6" s="19" t="s">
        <v>248</v>
      </c>
      <c r="E6" s="19" t="s">
        <v>249</v>
      </c>
      <c r="F6" s="19" t="s">
        <v>245</v>
      </c>
      <c r="G6" s="31">
        <v>5.336</v>
      </c>
      <c r="H6" s="31">
        <v>5.62</v>
      </c>
      <c r="I6" s="31">
        <v>6.517</v>
      </c>
      <c r="J6" s="31">
        <v>6.155</v>
      </c>
      <c r="K6" s="31">
        <v>6.404</v>
      </c>
      <c r="L6" s="31">
        <v>6.788</v>
      </c>
      <c r="M6" s="31">
        <v>5.879</v>
      </c>
      <c r="N6" s="31">
        <v>5.863</v>
      </c>
      <c r="O6" s="31">
        <v>7.067</v>
      </c>
      <c r="P6" s="31">
        <v>6.932</v>
      </c>
      <c r="Q6" s="31">
        <v>7.919</v>
      </c>
      <c r="R6" s="31">
        <v>9.231</v>
      </c>
      <c r="S6" s="31">
        <v>6.767</v>
      </c>
      <c r="T6" s="31">
        <v>7.128</v>
      </c>
      <c r="U6" s="31">
        <v>8.265</v>
      </c>
      <c r="V6" s="31">
        <v>7.806</v>
      </c>
      <c r="W6" s="31">
        <v>8.121</v>
      </c>
      <c r="X6" s="31">
        <v>8.609</v>
      </c>
      <c r="Y6" s="31">
        <v>7.455</v>
      </c>
      <c r="Z6" s="31">
        <v>7.436</v>
      </c>
      <c r="AA6" s="31">
        <v>8.963</v>
      </c>
      <c r="AB6" s="31">
        <v>8.791</v>
      </c>
      <c r="AC6" s="31">
        <v>10.043</v>
      </c>
      <c r="AD6" s="31">
        <v>11.707</v>
      </c>
      <c r="AE6" s="32"/>
      <c r="AF6" s="31">
        <v>5.738</v>
      </c>
      <c r="AG6" s="31">
        <v>5.204</v>
      </c>
      <c r="AH6" s="31">
        <v>7.162</v>
      </c>
      <c r="AI6" s="31">
        <v>5.595</v>
      </c>
      <c r="AJ6" s="31">
        <v>6.741</v>
      </c>
      <c r="AK6" s="31">
        <v>6.404</v>
      </c>
      <c r="AL6" s="31">
        <v>6.321</v>
      </c>
      <c r="AM6" s="31">
        <v>5.429</v>
      </c>
      <c r="AN6" s="31">
        <v>7.766</v>
      </c>
      <c r="AO6" s="31">
        <v>6.301</v>
      </c>
      <c r="AP6" s="31">
        <v>8.335</v>
      </c>
      <c r="AQ6" s="31">
        <v>8.708</v>
      </c>
      <c r="AR6" s="31">
        <v>7.277</v>
      </c>
      <c r="AS6" s="31">
        <v>6.6</v>
      </c>
      <c r="AT6" s="31">
        <v>9.083</v>
      </c>
      <c r="AU6" s="31">
        <v>7.096</v>
      </c>
      <c r="AV6" s="31">
        <v>8.549</v>
      </c>
      <c r="AW6" s="31">
        <v>8.121</v>
      </c>
      <c r="AX6" s="31">
        <v>8.017</v>
      </c>
      <c r="AY6" s="31">
        <v>6.885</v>
      </c>
      <c r="AZ6" s="31">
        <v>9.85</v>
      </c>
      <c r="BA6" s="31">
        <v>7.992</v>
      </c>
      <c r="BB6" s="31">
        <v>10.571</v>
      </c>
      <c r="BC6" s="31">
        <v>11.044</v>
      </c>
    </row>
    <row r="7" ht="15" customHeight="1">
      <c r="A7" s="19" t="s">
        <v>240</v>
      </c>
      <c r="B7" s="19" t="s">
        <v>241</v>
      </c>
      <c r="C7" s="19" t="s">
        <v>242</v>
      </c>
      <c r="D7" s="19" t="s">
        <v>250</v>
      </c>
      <c r="E7" s="19" t="s">
        <v>251</v>
      </c>
      <c r="F7" s="19" t="s">
        <v>252</v>
      </c>
      <c r="G7" s="33">
        <v>3.1</v>
      </c>
      <c r="H7" s="33">
        <v>3.298</v>
      </c>
      <c r="I7" s="33">
        <v>3.455</v>
      </c>
      <c r="J7" s="33">
        <v>3.54</v>
      </c>
      <c r="K7" s="33">
        <v>3.536</v>
      </c>
      <c r="L7" s="33">
        <v>3.444</v>
      </c>
      <c r="M7" s="33">
        <v>3.281</v>
      </c>
      <c r="N7" s="33">
        <v>3.082</v>
      </c>
      <c r="O7" s="33">
        <v>2.886</v>
      </c>
      <c r="P7" s="33">
        <v>2.734</v>
      </c>
      <c r="Q7" s="33">
        <v>2.656</v>
      </c>
      <c r="R7" s="33">
        <v>2.668</v>
      </c>
      <c r="S7" s="33">
        <v>2.768</v>
      </c>
      <c r="T7" s="33">
        <v>2.936</v>
      </c>
      <c r="U7" s="33">
        <v>3.136</v>
      </c>
      <c r="V7" s="33">
        <v>3.329</v>
      </c>
      <c r="W7" s="33">
        <v>3.476</v>
      </c>
      <c r="X7" s="33">
        <v>3.546</v>
      </c>
      <c r="Y7" s="33">
        <v>3.526</v>
      </c>
      <c r="Z7" s="33">
        <v>3.419</v>
      </c>
      <c r="AA7" s="33">
        <v>3.247</v>
      </c>
      <c r="AB7" s="33">
        <v>3.046</v>
      </c>
      <c r="AC7" s="33">
        <v>2.855</v>
      </c>
      <c r="AD7" s="33">
        <v>2.714</v>
      </c>
      <c r="AE7" s="34"/>
      <c r="AF7" s="33">
        <v>3.37</v>
      </c>
      <c r="AG7" s="33">
        <v>3.025</v>
      </c>
      <c r="AH7" s="33">
        <v>3.839</v>
      </c>
      <c r="AI7" s="33">
        <v>3.372</v>
      </c>
      <c r="AJ7" s="33">
        <v>3.762</v>
      </c>
      <c r="AK7" s="33">
        <v>3.218</v>
      </c>
      <c r="AL7" s="33">
        <v>3.566</v>
      </c>
      <c r="AM7" s="33">
        <v>2.827</v>
      </c>
      <c r="AN7" s="33">
        <v>3.207</v>
      </c>
      <c r="AO7" s="33">
        <v>2.604</v>
      </c>
      <c r="AP7" s="33">
        <v>2.826</v>
      </c>
      <c r="AQ7" s="33">
        <v>2.494</v>
      </c>
      <c r="AR7" s="33">
        <v>3.009</v>
      </c>
      <c r="AS7" s="33">
        <v>2.693</v>
      </c>
      <c r="AT7" s="33">
        <v>3.485</v>
      </c>
      <c r="AU7" s="33">
        <v>3.171</v>
      </c>
      <c r="AV7" s="33">
        <v>3.698</v>
      </c>
      <c r="AW7" s="33">
        <v>3.314</v>
      </c>
      <c r="AX7" s="33">
        <v>3.833</v>
      </c>
      <c r="AY7" s="33">
        <v>3.137</v>
      </c>
      <c r="AZ7" s="33">
        <v>3.608</v>
      </c>
      <c r="BA7" s="33">
        <v>2.901</v>
      </c>
      <c r="BB7" s="33">
        <v>3.037</v>
      </c>
      <c r="BC7" s="33">
        <v>2.537</v>
      </c>
    </row>
    <row r="8" ht="15" customHeight="1">
      <c r="A8" s="19" t="s">
        <v>240</v>
      </c>
      <c r="B8" s="19" t="s">
        <v>241</v>
      </c>
      <c r="C8" s="19" t="s">
        <v>242</v>
      </c>
      <c r="D8" s="19" t="s">
        <v>253</v>
      </c>
      <c r="E8" s="19" t="s">
        <v>254</v>
      </c>
      <c r="F8" s="19" t="s">
        <v>255</v>
      </c>
      <c r="G8" s="31">
        <v>43</v>
      </c>
      <c r="H8" s="31">
        <v>45.138</v>
      </c>
      <c r="I8" s="31">
        <v>46.924</v>
      </c>
      <c r="J8" s="31">
        <v>48.092</v>
      </c>
      <c r="K8" s="31">
        <v>48.528</v>
      </c>
      <c r="L8" s="31">
        <v>48.295</v>
      </c>
      <c r="M8" s="31">
        <v>47.623</v>
      </c>
      <c r="N8" s="31">
        <v>46.848</v>
      </c>
      <c r="O8" s="31">
        <v>46.33</v>
      </c>
      <c r="P8" s="31">
        <v>46.367</v>
      </c>
      <c r="Q8" s="31">
        <v>47.123</v>
      </c>
      <c r="R8" s="31">
        <v>48.583</v>
      </c>
      <c r="S8" s="31">
        <v>50.562</v>
      </c>
      <c r="T8" s="31">
        <v>52.745</v>
      </c>
      <c r="U8" s="31">
        <v>54.771</v>
      </c>
      <c r="V8" s="31">
        <v>56.314</v>
      </c>
      <c r="W8" s="31">
        <v>57.168</v>
      </c>
      <c r="X8" s="31">
        <v>57.295</v>
      </c>
      <c r="Y8" s="31">
        <v>56.836</v>
      </c>
      <c r="Z8" s="31">
        <v>56.075</v>
      </c>
      <c r="AA8" s="31">
        <v>55.368</v>
      </c>
      <c r="AB8" s="31">
        <v>55.061</v>
      </c>
      <c r="AC8" s="31">
        <v>55.4</v>
      </c>
      <c r="AD8" s="31">
        <v>56.474</v>
      </c>
      <c r="AE8" s="32"/>
      <c r="AF8" s="31">
        <v>47.253</v>
      </c>
      <c r="AG8" s="31">
        <v>41.035</v>
      </c>
      <c r="AH8" s="31">
        <v>49.394</v>
      </c>
      <c r="AI8" s="31">
        <v>45.37</v>
      </c>
      <c r="AJ8" s="31">
        <v>52.181</v>
      </c>
      <c r="AK8" s="31">
        <v>44.718</v>
      </c>
      <c r="AL8" s="31">
        <v>52.333</v>
      </c>
      <c r="AM8" s="31">
        <v>42.589</v>
      </c>
      <c r="AN8" s="31">
        <v>48.768</v>
      </c>
      <c r="AO8" s="31">
        <v>43.743</v>
      </c>
      <c r="AP8" s="31">
        <v>50.67</v>
      </c>
      <c r="AQ8" s="31">
        <v>44.985</v>
      </c>
      <c r="AR8" s="31">
        <v>55.562</v>
      </c>
      <c r="AS8" s="31">
        <v>47.95</v>
      </c>
      <c r="AT8" s="31">
        <v>57.654</v>
      </c>
      <c r="AU8" s="31">
        <v>53.126</v>
      </c>
      <c r="AV8" s="31">
        <v>61.471</v>
      </c>
      <c r="AW8" s="31">
        <v>53.051</v>
      </c>
      <c r="AX8" s="31">
        <v>62.458</v>
      </c>
      <c r="AY8" s="31">
        <v>50.977</v>
      </c>
      <c r="AZ8" s="31">
        <v>58.282</v>
      </c>
      <c r="BA8" s="31">
        <v>51.944</v>
      </c>
      <c r="BB8" s="31">
        <v>59.57</v>
      </c>
      <c r="BC8" s="31">
        <v>52.29</v>
      </c>
    </row>
    <row r="9" ht="15" customHeight="1">
      <c r="A9" s="19" t="s">
        <v>240</v>
      </c>
      <c r="B9" s="19" t="s">
        <v>241</v>
      </c>
      <c r="C9" s="19" t="s">
        <v>242</v>
      </c>
      <c r="D9" s="19" t="s">
        <v>256</v>
      </c>
      <c r="E9" s="19" t="s">
        <v>257</v>
      </c>
      <c r="F9" s="19" t="s">
        <v>255</v>
      </c>
      <c r="G9" s="31">
        <v>310</v>
      </c>
      <c r="H9" s="31">
        <v>319.408</v>
      </c>
      <c r="I9" s="31">
        <v>328.276</v>
      </c>
      <c r="J9" s="31">
        <v>336.122</v>
      </c>
      <c r="K9" s="31">
        <v>342.579</v>
      </c>
      <c r="L9" s="31">
        <v>347.431</v>
      </c>
      <c r="M9" s="31">
        <v>350.639</v>
      </c>
      <c r="N9" s="31">
        <v>352.346</v>
      </c>
      <c r="O9" s="31">
        <v>352.859</v>
      </c>
      <c r="P9" s="31">
        <v>352.617</v>
      </c>
      <c r="Q9" s="31">
        <v>352.141</v>
      </c>
      <c r="R9" s="31">
        <v>351.981</v>
      </c>
      <c r="S9" s="31">
        <v>352.648</v>
      </c>
      <c r="T9" s="31">
        <v>354.565</v>
      </c>
      <c r="U9" s="31">
        <v>358.016</v>
      </c>
      <c r="V9" s="31">
        <v>363.116</v>
      </c>
      <c r="W9" s="31">
        <v>369.8</v>
      </c>
      <c r="X9" s="31">
        <v>377.827</v>
      </c>
      <c r="Y9" s="31">
        <v>386.809</v>
      </c>
      <c r="Z9" s="31">
        <v>396.252</v>
      </c>
      <c r="AA9" s="31">
        <v>405.612</v>
      </c>
      <c r="AB9" s="31">
        <v>414.355</v>
      </c>
      <c r="AC9" s="31">
        <v>422.012</v>
      </c>
      <c r="AD9" s="31">
        <v>428.238</v>
      </c>
      <c r="AE9" s="32"/>
      <c r="AF9" s="31">
        <v>344.444</v>
      </c>
      <c r="AG9" s="31">
        <v>304.198</v>
      </c>
      <c r="AH9" s="31">
        <v>349.229</v>
      </c>
      <c r="AI9" s="31">
        <v>314.133</v>
      </c>
      <c r="AJ9" s="31">
        <v>372.369</v>
      </c>
      <c r="AK9" s="31">
        <v>318.744</v>
      </c>
      <c r="AL9" s="31">
        <v>389.599</v>
      </c>
      <c r="AM9" s="31">
        <v>335.568</v>
      </c>
      <c r="AN9" s="31">
        <v>375.382</v>
      </c>
      <c r="AO9" s="31">
        <v>329.548</v>
      </c>
      <c r="AP9" s="31">
        <v>382.762</v>
      </c>
      <c r="AQ9" s="31">
        <v>322.918</v>
      </c>
      <c r="AR9" s="31">
        <v>391.831</v>
      </c>
      <c r="AS9" s="31">
        <v>337.681</v>
      </c>
      <c r="AT9" s="31">
        <v>380.868</v>
      </c>
      <c r="AU9" s="31">
        <v>339.361</v>
      </c>
      <c r="AV9" s="31">
        <v>401.957</v>
      </c>
      <c r="AW9" s="31">
        <v>346.63</v>
      </c>
      <c r="AX9" s="31">
        <v>429.788</v>
      </c>
      <c r="AY9" s="31">
        <v>377.383</v>
      </c>
      <c r="AZ9" s="31">
        <v>431.502</v>
      </c>
      <c r="BA9" s="31">
        <v>387.247</v>
      </c>
      <c r="BB9" s="31">
        <v>458.709</v>
      </c>
      <c r="BC9" s="31">
        <v>392.879</v>
      </c>
    </row>
    <row r="10" ht="15" customHeight="1">
      <c r="A10" s="19" t="s">
        <v>240</v>
      </c>
      <c r="B10" s="19" t="s">
        <v>241</v>
      </c>
      <c r="C10" s="19" t="s">
        <v>242</v>
      </c>
      <c r="D10" s="19" t="s">
        <v>258</v>
      </c>
      <c r="E10" s="19" t="s">
        <v>259</v>
      </c>
      <c r="F10" s="19" t="s">
        <v>252</v>
      </c>
      <c r="G10" s="33">
        <v>0.72</v>
      </c>
      <c r="H10" s="33">
        <v>0.764</v>
      </c>
      <c r="I10" s="33">
        <v>0.803</v>
      </c>
      <c r="J10" s="33">
        <v>0.832</v>
      </c>
      <c r="K10" s="33">
        <v>0.848</v>
      </c>
      <c r="L10" s="33">
        <v>0.85</v>
      </c>
      <c r="M10" s="33">
        <v>0.84</v>
      </c>
      <c r="N10" s="33">
        <v>0.822</v>
      </c>
      <c r="O10" s="33">
        <v>0.801</v>
      </c>
      <c r="P10" s="33">
        <v>0.782</v>
      </c>
      <c r="Q10" s="33">
        <v>0.772</v>
      </c>
      <c r="R10" s="33">
        <v>0.773</v>
      </c>
      <c r="S10" s="33">
        <v>0.787</v>
      </c>
      <c r="T10" s="33">
        <v>0.815</v>
      </c>
      <c r="U10" s="33">
        <v>0.853</v>
      </c>
      <c r="V10" s="33">
        <v>0.897</v>
      </c>
      <c r="W10" s="33">
        <v>0.942</v>
      </c>
      <c r="X10" s="33">
        <v>0.981</v>
      </c>
      <c r="Y10" s="33">
        <v>1.011</v>
      </c>
      <c r="Z10" s="33">
        <v>1.028</v>
      </c>
      <c r="AA10" s="33">
        <v>1.031</v>
      </c>
      <c r="AB10" s="33">
        <v>1.022</v>
      </c>
      <c r="AC10" s="33">
        <v>1.004</v>
      </c>
      <c r="AD10" s="33">
        <v>0.983</v>
      </c>
      <c r="AE10" s="34"/>
      <c r="AF10" s="33">
        <v>0.758</v>
      </c>
      <c r="AG10" s="33">
        <v>0.721</v>
      </c>
      <c r="AH10" s="33">
        <v>0.864</v>
      </c>
      <c r="AI10" s="33">
        <v>0.77</v>
      </c>
      <c r="AJ10" s="33">
        <v>0.931</v>
      </c>
      <c r="AK10" s="33">
        <v>0.772</v>
      </c>
      <c r="AL10" s="33">
        <v>0.884</v>
      </c>
      <c r="AM10" s="33">
        <v>0.775</v>
      </c>
      <c r="AN10" s="33">
        <v>0.861</v>
      </c>
      <c r="AO10" s="33">
        <v>0.724</v>
      </c>
      <c r="AP10" s="33">
        <v>0.848</v>
      </c>
      <c r="AQ10" s="33">
        <v>0.702</v>
      </c>
      <c r="AR10" s="33">
        <v>0.829</v>
      </c>
      <c r="AS10" s="33">
        <v>0.769</v>
      </c>
      <c r="AT10" s="33">
        <v>0.917</v>
      </c>
      <c r="AU10" s="33">
        <v>0.831</v>
      </c>
      <c r="AV10" s="33">
        <v>1.035</v>
      </c>
      <c r="AW10" s="33">
        <v>0.892</v>
      </c>
      <c r="AX10" s="33">
        <v>1.064</v>
      </c>
      <c r="AY10" s="33">
        <v>0.97</v>
      </c>
      <c r="AZ10" s="33">
        <v>1.109</v>
      </c>
      <c r="BA10" s="33">
        <v>0.946</v>
      </c>
      <c r="BB10" s="33">
        <v>1.104</v>
      </c>
      <c r="BC10" s="33">
        <v>0.894</v>
      </c>
    </row>
    <row r="11" ht="15" customHeight="1">
      <c r="A11" s="19" t="s">
        <v>45</v>
      </c>
      <c r="B11" s="19" t="s">
        <v>45</v>
      </c>
      <c r="C11" s="19" t="s">
        <v>45</v>
      </c>
      <c r="D11" s="19" t="s">
        <v>45</v>
      </c>
      <c r="E11" s="19" t="s">
        <v>45</v>
      </c>
      <c r="F11" s="19" t="s">
        <v>45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2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</row>
    <row r="12" ht="15" customHeight="1">
      <c r="A12" s="19" t="s">
        <v>240</v>
      </c>
      <c r="B12" s="19" t="s">
        <v>57</v>
      </c>
      <c r="C12" s="19" t="s">
        <v>58</v>
      </c>
      <c r="D12" s="19" t="s">
        <v>260</v>
      </c>
      <c r="E12" s="19" t="s">
        <v>261</v>
      </c>
      <c r="F12" s="19" t="s">
        <v>262</v>
      </c>
      <c r="G12" s="36">
        <v>0.021</v>
      </c>
      <c r="H12" s="36">
        <v>0.023</v>
      </c>
      <c r="I12" s="36">
        <v>0.025</v>
      </c>
      <c r="J12" s="36">
        <v>0.025</v>
      </c>
      <c r="K12" s="36">
        <v>0.024</v>
      </c>
      <c r="L12" s="36">
        <v>0.022</v>
      </c>
      <c r="M12" s="36">
        <v>0.02</v>
      </c>
      <c r="N12" s="36">
        <v>0.018</v>
      </c>
      <c r="O12" s="36">
        <v>0.017</v>
      </c>
      <c r="P12" s="36">
        <v>0.017</v>
      </c>
      <c r="Q12" s="36">
        <v>0.018</v>
      </c>
      <c r="R12" s="36">
        <v>0.02</v>
      </c>
      <c r="S12" s="36">
        <v>0.022</v>
      </c>
      <c r="T12" s="36">
        <v>0.024</v>
      </c>
      <c r="U12" s="36">
        <v>0.025</v>
      </c>
      <c r="V12" s="36">
        <v>0.025</v>
      </c>
      <c r="W12" s="36">
        <v>0.023</v>
      </c>
      <c r="X12" s="36">
        <v>0.021</v>
      </c>
      <c r="Y12" s="36">
        <v>0.019</v>
      </c>
      <c r="Z12" s="36">
        <v>0.017</v>
      </c>
      <c r="AA12" s="36">
        <v>0.017</v>
      </c>
      <c r="AB12" s="36">
        <v>0.018</v>
      </c>
      <c r="AC12" s="36">
        <v>0.02</v>
      </c>
      <c r="AD12" s="36">
        <v>0.022</v>
      </c>
      <c r="AE12" s="37"/>
      <c r="AF12" s="36">
        <v>0.023</v>
      </c>
      <c r="AG12" s="36">
        <v>0.021</v>
      </c>
      <c r="AH12" s="36">
        <v>0.027</v>
      </c>
      <c r="AI12" s="36">
        <v>0.023</v>
      </c>
      <c r="AJ12" s="36">
        <v>0.025</v>
      </c>
      <c r="AK12" s="36">
        <v>0.021</v>
      </c>
      <c r="AL12" s="36">
        <v>0.022</v>
      </c>
      <c r="AM12" s="36">
        <v>0.017</v>
      </c>
      <c r="AN12" s="36">
        <v>0.019</v>
      </c>
      <c r="AO12" s="36">
        <v>0.016</v>
      </c>
      <c r="AP12" s="36">
        <v>0.019</v>
      </c>
      <c r="AQ12" s="36">
        <v>0.019</v>
      </c>
      <c r="AR12" s="36">
        <v>0.024</v>
      </c>
      <c r="AS12" s="36">
        <v>0.022</v>
      </c>
      <c r="AT12" s="36">
        <v>0.027</v>
      </c>
      <c r="AU12" s="36">
        <v>0.022</v>
      </c>
      <c r="AV12" s="36">
        <v>0.024</v>
      </c>
      <c r="AW12" s="36">
        <v>0.02</v>
      </c>
      <c r="AX12" s="36">
        <v>0.02</v>
      </c>
      <c r="AY12" s="36">
        <v>0.016</v>
      </c>
      <c r="AZ12" s="36">
        <v>0.019</v>
      </c>
      <c r="BA12" s="36">
        <v>0.016</v>
      </c>
      <c r="BB12" s="36">
        <v>0.021</v>
      </c>
      <c r="BC12" s="36">
        <v>0.021</v>
      </c>
    </row>
    <row r="13" ht="15" customHeight="1">
      <c r="A13" s="19" t="s">
        <v>240</v>
      </c>
      <c r="B13" s="19" t="s">
        <v>57</v>
      </c>
      <c r="C13" s="19" t="s">
        <v>58</v>
      </c>
      <c r="D13" s="19" t="s">
        <v>263</v>
      </c>
      <c r="E13" s="19" t="s">
        <v>264</v>
      </c>
      <c r="F13" s="19" t="s">
        <v>262</v>
      </c>
      <c r="G13" s="36">
        <v>0.021</v>
      </c>
      <c r="H13" s="36">
        <v>0.02</v>
      </c>
      <c r="I13" s="36">
        <v>0.019</v>
      </c>
      <c r="J13" s="36">
        <v>0.017</v>
      </c>
      <c r="K13" s="36">
        <v>0.016</v>
      </c>
      <c r="L13" s="36">
        <v>0.014</v>
      </c>
      <c r="M13" s="36">
        <v>0.014</v>
      </c>
      <c r="N13" s="36">
        <v>0.014</v>
      </c>
      <c r="O13" s="36">
        <v>0.015</v>
      </c>
      <c r="P13" s="36">
        <v>0.016</v>
      </c>
      <c r="Q13" s="36">
        <v>0.018</v>
      </c>
      <c r="R13" s="36">
        <v>0.019</v>
      </c>
      <c r="S13" s="36">
        <v>0.02</v>
      </c>
      <c r="T13" s="36">
        <v>0.02</v>
      </c>
      <c r="U13" s="36">
        <v>0.02</v>
      </c>
      <c r="V13" s="36">
        <v>0.018</v>
      </c>
      <c r="W13" s="36">
        <v>0.016</v>
      </c>
      <c r="X13" s="36">
        <v>0.015</v>
      </c>
      <c r="Y13" s="36">
        <v>0.014</v>
      </c>
      <c r="Z13" s="36">
        <v>0.014</v>
      </c>
      <c r="AA13" s="36">
        <v>0.014</v>
      </c>
      <c r="AB13" s="36">
        <v>0.015</v>
      </c>
      <c r="AC13" s="36">
        <v>0.017</v>
      </c>
      <c r="AD13" s="36">
        <v>0.019</v>
      </c>
      <c r="AE13" s="37"/>
      <c r="AF13" s="36">
        <v>0.022</v>
      </c>
      <c r="AG13" s="36">
        <v>0.018</v>
      </c>
      <c r="AH13" s="36">
        <v>0.021</v>
      </c>
      <c r="AI13" s="36">
        <v>0.016</v>
      </c>
      <c r="AJ13" s="36">
        <v>0.017</v>
      </c>
      <c r="AK13" s="36">
        <v>0.013</v>
      </c>
      <c r="AL13" s="36">
        <v>0.015</v>
      </c>
      <c r="AM13" s="36">
        <v>0.013</v>
      </c>
      <c r="AN13" s="36">
        <v>0.016</v>
      </c>
      <c r="AO13" s="36">
        <v>0.015</v>
      </c>
      <c r="AP13" s="36">
        <v>0.019</v>
      </c>
      <c r="AQ13" s="36">
        <v>0.018</v>
      </c>
      <c r="AR13" s="36">
        <v>0.022</v>
      </c>
      <c r="AS13" s="36">
        <v>0.019</v>
      </c>
      <c r="AT13" s="36">
        <v>0.022</v>
      </c>
      <c r="AU13" s="36">
        <v>0.017</v>
      </c>
      <c r="AV13" s="36">
        <v>0.018</v>
      </c>
      <c r="AW13" s="36">
        <v>0.014</v>
      </c>
      <c r="AX13" s="36">
        <v>0.015</v>
      </c>
      <c r="AY13" s="36">
        <v>0.012</v>
      </c>
      <c r="AZ13" s="36">
        <v>0.016</v>
      </c>
      <c r="BA13" s="36">
        <v>0.015</v>
      </c>
      <c r="BB13" s="36">
        <v>0.018</v>
      </c>
      <c r="BC13" s="36">
        <v>0.017</v>
      </c>
    </row>
    <row r="14" ht="15" customHeight="1">
      <c r="A14" s="19" t="s">
        <v>240</v>
      </c>
      <c r="B14" s="19" t="s">
        <v>57</v>
      </c>
      <c r="C14" s="19" t="s">
        <v>58</v>
      </c>
      <c r="D14" s="19" t="s">
        <v>265</v>
      </c>
      <c r="E14" s="19" t="s">
        <v>266</v>
      </c>
      <c r="F14" s="19" t="s">
        <v>262</v>
      </c>
      <c r="G14" s="36">
        <v>1.018</v>
      </c>
      <c r="H14" s="36">
        <v>1.02</v>
      </c>
      <c r="I14" s="36">
        <v>1.022</v>
      </c>
      <c r="J14" s="36">
        <v>1.024</v>
      </c>
      <c r="K14" s="36">
        <v>1.024</v>
      </c>
      <c r="L14" s="36">
        <v>1.023</v>
      </c>
      <c r="M14" s="36">
        <v>1.022</v>
      </c>
      <c r="N14" s="36">
        <v>1.02</v>
      </c>
      <c r="O14" s="36">
        <v>1.018</v>
      </c>
      <c r="P14" s="36">
        <v>1.015</v>
      </c>
      <c r="Q14" s="36">
        <v>1.013</v>
      </c>
      <c r="R14" s="36">
        <v>1.012</v>
      </c>
      <c r="S14" s="36">
        <v>1.012</v>
      </c>
      <c r="T14" s="36">
        <v>1.013</v>
      </c>
      <c r="U14" s="36">
        <v>1.014</v>
      </c>
      <c r="V14" s="36">
        <v>1.016</v>
      </c>
      <c r="W14" s="36">
        <v>1.019</v>
      </c>
      <c r="X14" s="36">
        <v>1.021</v>
      </c>
      <c r="Y14" s="36">
        <v>1.023</v>
      </c>
      <c r="Z14" s="36">
        <v>1.024</v>
      </c>
      <c r="AA14" s="36">
        <v>1.024</v>
      </c>
      <c r="AB14" s="36">
        <v>1.023</v>
      </c>
      <c r="AC14" s="36">
        <v>1.022</v>
      </c>
      <c r="AD14" s="36">
        <v>1.019</v>
      </c>
      <c r="AE14" s="37"/>
      <c r="AF14" s="36">
        <v>1.119</v>
      </c>
      <c r="AG14" s="36">
        <v>0.928</v>
      </c>
      <c r="AH14" s="36">
        <v>1.076</v>
      </c>
      <c r="AI14" s="36">
        <v>0.966</v>
      </c>
      <c r="AJ14" s="36">
        <v>1.101</v>
      </c>
      <c r="AK14" s="36">
        <v>0.948</v>
      </c>
      <c r="AL14" s="36">
        <v>1.123</v>
      </c>
      <c r="AM14" s="36">
        <v>0.927</v>
      </c>
      <c r="AN14" s="36">
        <v>1.071</v>
      </c>
      <c r="AO14" s="36">
        <v>0.958</v>
      </c>
      <c r="AP14" s="36">
        <v>1.09</v>
      </c>
      <c r="AQ14" s="36">
        <v>0.937</v>
      </c>
      <c r="AR14" s="36">
        <v>1.112</v>
      </c>
      <c r="AS14" s="36">
        <v>0.921</v>
      </c>
      <c r="AT14" s="36">
        <v>1.068</v>
      </c>
      <c r="AU14" s="36">
        <v>0.959</v>
      </c>
      <c r="AV14" s="36">
        <v>1.095</v>
      </c>
      <c r="AW14" s="36">
        <v>0.945</v>
      </c>
      <c r="AX14" s="36">
        <v>1.124</v>
      </c>
      <c r="AY14" s="36">
        <v>0.931</v>
      </c>
      <c r="AZ14" s="36">
        <v>1.078</v>
      </c>
      <c r="BA14" s="36">
        <v>0.965</v>
      </c>
      <c r="BB14" s="36">
        <v>1.098</v>
      </c>
      <c r="BC14" s="36">
        <v>0.944</v>
      </c>
    </row>
    <row r="15" ht="15" customHeight="1">
      <c r="A15" s="19" t="s">
        <v>45</v>
      </c>
      <c r="B15" s="19" t="s">
        <v>45</v>
      </c>
      <c r="C15" s="19" t="s">
        <v>45</v>
      </c>
      <c r="D15" s="19" t="s">
        <v>45</v>
      </c>
      <c r="E15" s="19" t="s">
        <v>45</v>
      </c>
      <c r="F15" s="19" t="s">
        <v>45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2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ht="15" customHeight="1">
      <c r="A16" s="19" t="s">
        <v>240</v>
      </c>
      <c r="B16" s="19" t="s">
        <v>267</v>
      </c>
      <c r="C16" s="19" t="s">
        <v>86</v>
      </c>
      <c r="D16" s="19" t="s">
        <v>268</v>
      </c>
      <c r="E16" s="19" t="s">
        <v>269</v>
      </c>
      <c r="F16" s="19" t="s">
        <v>270</v>
      </c>
      <c r="G16" s="38">
        <v>34</v>
      </c>
      <c r="H16" s="38">
        <v>35</v>
      </c>
      <c r="I16" s="38">
        <v>36</v>
      </c>
      <c r="J16" s="38">
        <v>37</v>
      </c>
      <c r="K16" s="38">
        <v>38</v>
      </c>
      <c r="L16" s="38">
        <v>39</v>
      </c>
      <c r="M16" s="38">
        <v>41</v>
      </c>
      <c r="N16" s="38">
        <v>42</v>
      </c>
      <c r="O16" s="38">
        <v>43</v>
      </c>
      <c r="P16" s="38">
        <v>44</v>
      </c>
      <c r="Q16" s="38">
        <v>45</v>
      </c>
      <c r="R16" s="38">
        <v>46</v>
      </c>
      <c r="S16" s="38">
        <v>48</v>
      </c>
      <c r="T16" s="38">
        <v>49</v>
      </c>
      <c r="U16" s="38">
        <v>50</v>
      </c>
      <c r="V16" s="38">
        <v>51</v>
      </c>
      <c r="W16" s="38">
        <v>52</v>
      </c>
      <c r="X16" s="38">
        <v>53</v>
      </c>
      <c r="Y16" s="38">
        <v>55</v>
      </c>
      <c r="Z16" s="38">
        <v>56</v>
      </c>
      <c r="AA16" s="38">
        <v>57</v>
      </c>
      <c r="AB16" s="38">
        <v>58</v>
      </c>
      <c r="AC16" s="38">
        <v>59</v>
      </c>
      <c r="AD16" s="38">
        <v>60</v>
      </c>
      <c r="AE16" s="39"/>
      <c r="AF16" s="38">
        <v>36</v>
      </c>
      <c r="AG16" s="38">
        <v>33</v>
      </c>
      <c r="AH16" s="38">
        <v>38</v>
      </c>
      <c r="AI16" s="38">
        <v>35</v>
      </c>
      <c r="AJ16" s="38">
        <v>41</v>
      </c>
      <c r="AK16" s="38">
        <v>38</v>
      </c>
      <c r="AL16" s="38">
        <v>43</v>
      </c>
      <c r="AM16" s="38">
        <v>40</v>
      </c>
      <c r="AN16" s="38">
        <v>46</v>
      </c>
      <c r="AO16" s="38">
        <v>42</v>
      </c>
      <c r="AP16" s="38">
        <v>48</v>
      </c>
      <c r="AQ16" s="38">
        <v>44</v>
      </c>
      <c r="AR16" s="38">
        <v>50</v>
      </c>
      <c r="AS16" s="38">
        <v>46</v>
      </c>
      <c r="AT16" s="38">
        <v>53</v>
      </c>
      <c r="AU16" s="38">
        <v>48</v>
      </c>
      <c r="AV16" s="38">
        <v>55</v>
      </c>
      <c r="AW16" s="38">
        <v>51</v>
      </c>
      <c r="AX16" s="38">
        <v>58</v>
      </c>
      <c r="AY16" s="38">
        <v>53</v>
      </c>
      <c r="AZ16" s="38">
        <v>60</v>
      </c>
      <c r="BA16" s="38">
        <v>55</v>
      </c>
      <c r="BB16" s="38">
        <v>63</v>
      </c>
      <c r="BC16" s="38">
        <v>57</v>
      </c>
    </row>
    <row r="17" ht="15" customHeight="1">
      <c r="A17" s="19" t="s">
        <v>240</v>
      </c>
      <c r="B17" s="19" t="s">
        <v>103</v>
      </c>
      <c r="C17" s="19" t="s">
        <v>104</v>
      </c>
      <c r="D17" s="19" t="s">
        <v>271</v>
      </c>
      <c r="E17" s="19" t="s">
        <v>272</v>
      </c>
      <c r="F17" s="19" t="s">
        <v>270</v>
      </c>
      <c r="G17" s="38">
        <v>18</v>
      </c>
      <c r="H17" s="38">
        <v>18</v>
      </c>
      <c r="I17" s="38">
        <v>19</v>
      </c>
      <c r="J17" s="38">
        <v>19</v>
      </c>
      <c r="K17" s="38">
        <v>20</v>
      </c>
      <c r="L17" s="38">
        <v>21</v>
      </c>
      <c r="M17" s="38">
        <v>21</v>
      </c>
      <c r="N17" s="38">
        <v>22</v>
      </c>
      <c r="O17" s="38">
        <v>22</v>
      </c>
      <c r="P17" s="38">
        <v>23</v>
      </c>
      <c r="Q17" s="38">
        <v>24</v>
      </c>
      <c r="R17" s="38">
        <v>24</v>
      </c>
      <c r="S17" s="38">
        <v>25</v>
      </c>
      <c r="T17" s="38">
        <v>25</v>
      </c>
      <c r="U17" s="38">
        <v>26</v>
      </c>
      <c r="V17" s="38">
        <v>27</v>
      </c>
      <c r="W17" s="38">
        <v>27</v>
      </c>
      <c r="X17" s="38">
        <v>28</v>
      </c>
      <c r="Y17" s="38">
        <v>29</v>
      </c>
      <c r="Z17" s="38">
        <v>29</v>
      </c>
      <c r="AA17" s="38">
        <v>30</v>
      </c>
      <c r="AB17" s="38">
        <v>30</v>
      </c>
      <c r="AC17" s="38">
        <v>31</v>
      </c>
      <c r="AD17" s="38">
        <v>32</v>
      </c>
      <c r="AE17" s="39"/>
      <c r="AF17" s="38">
        <v>19</v>
      </c>
      <c r="AG17" s="38">
        <v>17</v>
      </c>
      <c r="AH17" s="38">
        <v>20</v>
      </c>
      <c r="AI17" s="38">
        <v>18</v>
      </c>
      <c r="AJ17" s="38">
        <v>21</v>
      </c>
      <c r="AK17" s="38">
        <v>20</v>
      </c>
      <c r="AL17" s="38">
        <v>23</v>
      </c>
      <c r="AM17" s="38">
        <v>21</v>
      </c>
      <c r="AN17" s="38">
        <v>24</v>
      </c>
      <c r="AO17" s="38">
        <v>22</v>
      </c>
      <c r="AP17" s="38">
        <v>25</v>
      </c>
      <c r="AQ17" s="38">
        <v>23</v>
      </c>
      <c r="AR17" s="38">
        <v>26</v>
      </c>
      <c r="AS17" s="38">
        <v>24</v>
      </c>
      <c r="AT17" s="38">
        <v>28</v>
      </c>
      <c r="AU17" s="38">
        <v>25</v>
      </c>
      <c r="AV17" s="38">
        <v>29</v>
      </c>
      <c r="AW17" s="38">
        <v>26</v>
      </c>
      <c r="AX17" s="38">
        <v>30</v>
      </c>
      <c r="AY17" s="38">
        <v>28</v>
      </c>
      <c r="AZ17" s="38">
        <v>32</v>
      </c>
      <c r="BA17" s="38">
        <v>29</v>
      </c>
      <c r="BB17" s="38">
        <v>33</v>
      </c>
      <c r="BC17" s="38">
        <v>30</v>
      </c>
    </row>
    <row r="18" ht="15" customHeight="1">
      <c r="A18" s="19" t="s">
        <v>240</v>
      </c>
      <c r="B18" s="19" t="s">
        <v>110</v>
      </c>
      <c r="C18" s="19" t="s">
        <v>111</v>
      </c>
      <c r="D18" s="19" t="s">
        <v>273</v>
      </c>
      <c r="E18" s="19" t="s">
        <v>274</v>
      </c>
      <c r="F18" s="19" t="s">
        <v>270</v>
      </c>
      <c r="G18" s="38">
        <v>55</v>
      </c>
      <c r="H18" s="38">
        <v>57</v>
      </c>
      <c r="I18" s="38">
        <v>59</v>
      </c>
      <c r="J18" s="38">
        <v>61</v>
      </c>
      <c r="K18" s="38">
        <v>63</v>
      </c>
      <c r="L18" s="38">
        <v>65</v>
      </c>
      <c r="M18" s="38">
        <v>67</v>
      </c>
      <c r="N18" s="38">
        <v>69</v>
      </c>
      <c r="O18" s="38">
        <v>70</v>
      </c>
      <c r="P18" s="38">
        <v>72</v>
      </c>
      <c r="Q18" s="38">
        <v>74</v>
      </c>
      <c r="R18" s="38">
        <v>76</v>
      </c>
      <c r="S18" s="38">
        <v>78</v>
      </c>
      <c r="T18" s="38">
        <v>80</v>
      </c>
      <c r="U18" s="38">
        <v>82</v>
      </c>
      <c r="V18" s="38">
        <v>84</v>
      </c>
      <c r="W18" s="38">
        <v>85</v>
      </c>
      <c r="X18" s="38">
        <v>87</v>
      </c>
      <c r="Y18" s="38">
        <v>89</v>
      </c>
      <c r="Z18" s="38">
        <v>91</v>
      </c>
      <c r="AA18" s="38">
        <v>93</v>
      </c>
      <c r="AB18" s="38">
        <v>95</v>
      </c>
      <c r="AC18" s="38">
        <v>97</v>
      </c>
      <c r="AD18" s="38">
        <v>99</v>
      </c>
      <c r="AE18" s="39"/>
      <c r="AF18" s="38">
        <v>59</v>
      </c>
      <c r="AG18" s="38">
        <v>54</v>
      </c>
      <c r="AH18" s="38">
        <v>63</v>
      </c>
      <c r="AI18" s="38">
        <v>58</v>
      </c>
      <c r="AJ18" s="38">
        <v>66</v>
      </c>
      <c r="AK18" s="38">
        <v>62</v>
      </c>
      <c r="AL18" s="38">
        <v>71</v>
      </c>
      <c r="AM18" s="38">
        <v>65</v>
      </c>
      <c r="AN18" s="38">
        <v>75</v>
      </c>
      <c r="AO18" s="38">
        <v>69</v>
      </c>
      <c r="AP18" s="38">
        <v>79</v>
      </c>
      <c r="AQ18" s="38">
        <v>72</v>
      </c>
      <c r="AR18" s="38">
        <v>83</v>
      </c>
      <c r="AS18" s="38">
        <v>76</v>
      </c>
      <c r="AT18" s="38">
        <v>87</v>
      </c>
      <c r="AU18" s="38">
        <v>79</v>
      </c>
      <c r="AV18" s="38">
        <v>91</v>
      </c>
      <c r="AW18" s="38">
        <v>83</v>
      </c>
      <c r="AX18" s="38">
        <v>95</v>
      </c>
      <c r="AY18" s="38">
        <v>87</v>
      </c>
      <c r="AZ18" s="38">
        <v>99</v>
      </c>
      <c r="BA18" s="38">
        <v>90</v>
      </c>
      <c r="BB18" s="38">
        <v>103</v>
      </c>
      <c r="BC18" s="38">
        <v>94</v>
      </c>
    </row>
    <row r="19" ht="15" customHeight="1">
      <c r="A19" s="19" t="s">
        <v>240</v>
      </c>
      <c r="B19" s="19" t="s">
        <v>117</v>
      </c>
      <c r="C19" s="19" t="s">
        <v>118</v>
      </c>
      <c r="D19" s="19" t="s">
        <v>275</v>
      </c>
      <c r="E19" s="19" t="s">
        <v>276</v>
      </c>
      <c r="F19" s="19" t="s">
        <v>270</v>
      </c>
      <c r="G19" s="38">
        <v>16</v>
      </c>
      <c r="H19" s="38">
        <v>16</v>
      </c>
      <c r="I19" s="38">
        <v>17</v>
      </c>
      <c r="J19" s="38">
        <v>17</v>
      </c>
      <c r="K19" s="38">
        <v>18</v>
      </c>
      <c r="L19" s="38">
        <v>18</v>
      </c>
      <c r="M19" s="38">
        <v>19</v>
      </c>
      <c r="N19" s="38">
        <v>20</v>
      </c>
      <c r="O19" s="38">
        <v>20</v>
      </c>
      <c r="P19" s="38">
        <v>21</v>
      </c>
      <c r="Q19" s="38">
        <v>21</v>
      </c>
      <c r="R19" s="38">
        <v>22</v>
      </c>
      <c r="S19" s="38">
        <v>22</v>
      </c>
      <c r="T19" s="38">
        <v>23</v>
      </c>
      <c r="U19" s="38">
        <v>23</v>
      </c>
      <c r="V19" s="38">
        <v>24</v>
      </c>
      <c r="W19" s="38">
        <v>24</v>
      </c>
      <c r="X19" s="38">
        <v>25</v>
      </c>
      <c r="Y19" s="38">
        <v>26</v>
      </c>
      <c r="Z19" s="38">
        <v>26</v>
      </c>
      <c r="AA19" s="38">
        <v>27</v>
      </c>
      <c r="AB19" s="38">
        <v>27</v>
      </c>
      <c r="AC19" s="38">
        <v>28</v>
      </c>
      <c r="AD19" s="38">
        <v>28</v>
      </c>
      <c r="AE19" s="39"/>
      <c r="AF19" s="38">
        <v>17</v>
      </c>
      <c r="AG19" s="38">
        <v>15</v>
      </c>
      <c r="AH19" s="38">
        <v>18</v>
      </c>
      <c r="AI19" s="38">
        <v>16</v>
      </c>
      <c r="AJ19" s="38">
        <v>19</v>
      </c>
      <c r="AK19" s="38">
        <v>18</v>
      </c>
      <c r="AL19" s="38">
        <v>20</v>
      </c>
      <c r="AM19" s="38">
        <v>19</v>
      </c>
      <c r="AN19" s="38">
        <v>21</v>
      </c>
      <c r="AO19" s="38">
        <v>20</v>
      </c>
      <c r="AP19" s="38">
        <v>22</v>
      </c>
      <c r="AQ19" s="38">
        <v>21</v>
      </c>
      <c r="AR19" s="38">
        <v>24</v>
      </c>
      <c r="AS19" s="38">
        <v>22</v>
      </c>
      <c r="AT19" s="38">
        <v>25</v>
      </c>
      <c r="AU19" s="38">
        <v>23</v>
      </c>
      <c r="AV19" s="38">
        <v>26</v>
      </c>
      <c r="AW19" s="38">
        <v>24</v>
      </c>
      <c r="AX19" s="38">
        <v>27</v>
      </c>
      <c r="AY19" s="38">
        <v>25</v>
      </c>
      <c r="AZ19" s="38">
        <v>28</v>
      </c>
      <c r="BA19" s="38">
        <v>26</v>
      </c>
      <c r="BB19" s="38">
        <v>29</v>
      </c>
      <c r="BC19" s="38">
        <v>27</v>
      </c>
    </row>
    <row r="20" ht="15" customHeight="1">
      <c r="A20" s="19" t="s">
        <v>240</v>
      </c>
      <c r="B20" s="19" t="s">
        <v>57</v>
      </c>
      <c r="C20" s="19" t="s">
        <v>58</v>
      </c>
      <c r="D20" s="19" t="s">
        <v>277</v>
      </c>
      <c r="E20" s="19" t="s">
        <v>278</v>
      </c>
      <c r="F20" s="19" t="s">
        <v>270</v>
      </c>
      <c r="G20" s="38">
        <v>19</v>
      </c>
      <c r="H20" s="38">
        <v>20</v>
      </c>
      <c r="I20" s="38">
        <v>21</v>
      </c>
      <c r="J20" s="38">
        <v>21</v>
      </c>
      <c r="K20" s="38">
        <v>22</v>
      </c>
      <c r="L20" s="38">
        <v>23</v>
      </c>
      <c r="M20" s="38">
        <v>23</v>
      </c>
      <c r="N20" s="38">
        <v>24</v>
      </c>
      <c r="O20" s="38">
        <v>25</v>
      </c>
      <c r="P20" s="38">
        <v>25</v>
      </c>
      <c r="Q20" s="38">
        <v>26</v>
      </c>
      <c r="R20" s="38">
        <v>27</v>
      </c>
      <c r="S20" s="38">
        <v>27</v>
      </c>
      <c r="T20" s="38">
        <v>28</v>
      </c>
      <c r="U20" s="38">
        <v>29</v>
      </c>
      <c r="V20" s="38">
        <v>29</v>
      </c>
      <c r="W20" s="38">
        <v>30</v>
      </c>
      <c r="X20" s="38">
        <v>31</v>
      </c>
      <c r="Y20" s="38">
        <v>31</v>
      </c>
      <c r="Z20" s="38">
        <v>32</v>
      </c>
      <c r="AA20" s="38">
        <v>33</v>
      </c>
      <c r="AB20" s="38">
        <v>33</v>
      </c>
      <c r="AC20" s="38">
        <v>34</v>
      </c>
      <c r="AD20" s="38">
        <v>35</v>
      </c>
      <c r="AE20" s="39"/>
      <c r="AF20" s="38">
        <v>21</v>
      </c>
      <c r="AG20" s="38">
        <v>19</v>
      </c>
      <c r="AH20" s="38">
        <v>22</v>
      </c>
      <c r="AI20" s="38">
        <v>20</v>
      </c>
      <c r="AJ20" s="38">
        <v>23</v>
      </c>
      <c r="AK20" s="38">
        <v>22</v>
      </c>
      <c r="AL20" s="38">
        <v>25</v>
      </c>
      <c r="AM20" s="38">
        <v>23</v>
      </c>
      <c r="AN20" s="38">
        <v>26</v>
      </c>
      <c r="AO20" s="38">
        <v>24</v>
      </c>
      <c r="AP20" s="38">
        <v>28</v>
      </c>
      <c r="AQ20" s="38">
        <v>25</v>
      </c>
      <c r="AR20" s="38">
        <v>29</v>
      </c>
      <c r="AS20" s="38">
        <v>27</v>
      </c>
      <c r="AT20" s="38">
        <v>30</v>
      </c>
      <c r="AU20" s="38">
        <v>28</v>
      </c>
      <c r="AV20" s="38">
        <v>32</v>
      </c>
      <c r="AW20" s="38">
        <v>29</v>
      </c>
      <c r="AX20" s="38">
        <v>33</v>
      </c>
      <c r="AY20" s="38">
        <v>30</v>
      </c>
      <c r="AZ20" s="38">
        <v>35</v>
      </c>
      <c r="BA20" s="38">
        <v>32</v>
      </c>
      <c r="BB20" s="38">
        <v>36</v>
      </c>
      <c r="BC20" s="38">
        <v>33</v>
      </c>
    </row>
    <row r="21" ht="15" customHeight="1">
      <c r="A21" s="19" t="s">
        <v>240</v>
      </c>
      <c r="B21" s="19" t="s">
        <v>79</v>
      </c>
      <c r="C21" s="19" t="s">
        <v>80</v>
      </c>
      <c r="D21" s="19" t="s">
        <v>279</v>
      </c>
      <c r="E21" s="19" t="s">
        <v>280</v>
      </c>
      <c r="F21" s="19" t="s">
        <v>270</v>
      </c>
      <c r="G21" s="38">
        <v>12</v>
      </c>
      <c r="H21" s="38">
        <v>13</v>
      </c>
      <c r="I21" s="38">
        <v>13</v>
      </c>
      <c r="J21" s="38">
        <v>13</v>
      </c>
      <c r="K21" s="38">
        <v>14</v>
      </c>
      <c r="L21" s="38">
        <v>14</v>
      </c>
      <c r="M21" s="38">
        <v>15</v>
      </c>
      <c r="N21" s="38">
        <v>15</v>
      </c>
      <c r="O21" s="38">
        <v>16</v>
      </c>
      <c r="P21" s="38">
        <v>16</v>
      </c>
      <c r="Q21" s="38">
        <v>16</v>
      </c>
      <c r="R21" s="38">
        <v>17</v>
      </c>
      <c r="S21" s="38">
        <v>17</v>
      </c>
      <c r="T21" s="38">
        <v>18</v>
      </c>
      <c r="U21" s="38">
        <v>18</v>
      </c>
      <c r="V21" s="38">
        <v>18</v>
      </c>
      <c r="W21" s="38">
        <v>19</v>
      </c>
      <c r="X21" s="38">
        <v>19</v>
      </c>
      <c r="Y21" s="38">
        <v>20</v>
      </c>
      <c r="Z21" s="38">
        <v>20</v>
      </c>
      <c r="AA21" s="38">
        <v>21</v>
      </c>
      <c r="AB21" s="38">
        <v>21</v>
      </c>
      <c r="AC21" s="38">
        <v>21</v>
      </c>
      <c r="AD21" s="38">
        <v>22</v>
      </c>
      <c r="AE21" s="39"/>
      <c r="AF21" s="38">
        <v>13</v>
      </c>
      <c r="AG21" s="38">
        <v>12</v>
      </c>
      <c r="AH21" s="38">
        <v>14</v>
      </c>
      <c r="AI21" s="38">
        <v>13</v>
      </c>
      <c r="AJ21" s="38">
        <v>15</v>
      </c>
      <c r="AK21" s="38">
        <v>14</v>
      </c>
      <c r="AL21" s="38">
        <v>16</v>
      </c>
      <c r="AM21" s="38">
        <v>14</v>
      </c>
      <c r="AN21" s="38">
        <v>17</v>
      </c>
      <c r="AO21" s="38">
        <v>15</v>
      </c>
      <c r="AP21" s="38">
        <v>17</v>
      </c>
      <c r="AQ21" s="38">
        <v>16</v>
      </c>
      <c r="AR21" s="38">
        <v>18</v>
      </c>
      <c r="AS21" s="38">
        <v>17</v>
      </c>
      <c r="AT21" s="38">
        <v>19</v>
      </c>
      <c r="AU21" s="38">
        <v>17</v>
      </c>
      <c r="AV21" s="38">
        <v>20</v>
      </c>
      <c r="AW21" s="38">
        <v>18</v>
      </c>
      <c r="AX21" s="38">
        <v>21</v>
      </c>
      <c r="AY21" s="38">
        <v>19</v>
      </c>
      <c r="AZ21" s="38">
        <v>22</v>
      </c>
      <c r="BA21" s="38">
        <v>20</v>
      </c>
      <c r="BB21" s="38">
        <v>23</v>
      </c>
      <c r="BC21" s="38">
        <v>21</v>
      </c>
    </row>
    <row r="22" ht="15" customHeight="1">
      <c r="A22" s="19" t="s">
        <v>240</v>
      </c>
      <c r="B22" s="19" t="s">
        <v>125</v>
      </c>
      <c r="C22" s="19" t="s">
        <v>281</v>
      </c>
      <c r="D22" s="19" t="s">
        <v>282</v>
      </c>
      <c r="E22" s="19" t="s">
        <v>283</v>
      </c>
      <c r="F22" s="19" t="s">
        <v>270</v>
      </c>
      <c r="G22" s="38">
        <v>7</v>
      </c>
      <c r="H22" s="38">
        <v>7</v>
      </c>
      <c r="I22" s="38">
        <v>7</v>
      </c>
      <c r="J22" s="38">
        <v>7</v>
      </c>
      <c r="K22" s="38">
        <v>8</v>
      </c>
      <c r="L22" s="38">
        <v>8</v>
      </c>
      <c r="M22" s="38">
        <v>8</v>
      </c>
      <c r="N22" s="38">
        <v>8</v>
      </c>
      <c r="O22" s="38">
        <v>9</v>
      </c>
      <c r="P22" s="38">
        <v>9</v>
      </c>
      <c r="Q22" s="38">
        <v>9</v>
      </c>
      <c r="R22" s="38">
        <v>9</v>
      </c>
      <c r="S22" s="38">
        <v>10</v>
      </c>
      <c r="T22" s="38">
        <v>10</v>
      </c>
      <c r="U22" s="38">
        <v>10</v>
      </c>
      <c r="V22" s="38">
        <v>10</v>
      </c>
      <c r="W22" s="38">
        <v>11</v>
      </c>
      <c r="X22" s="38">
        <v>11</v>
      </c>
      <c r="Y22" s="38">
        <v>11</v>
      </c>
      <c r="Z22" s="38">
        <v>11</v>
      </c>
      <c r="AA22" s="38">
        <v>12</v>
      </c>
      <c r="AB22" s="38">
        <v>12</v>
      </c>
      <c r="AC22" s="38">
        <v>12</v>
      </c>
      <c r="AD22" s="38">
        <v>12</v>
      </c>
      <c r="AE22" s="39"/>
      <c r="AF22" s="38">
        <v>7</v>
      </c>
      <c r="AG22" s="38">
        <v>7</v>
      </c>
      <c r="AH22" s="38">
        <v>8</v>
      </c>
      <c r="AI22" s="38">
        <v>7</v>
      </c>
      <c r="AJ22" s="38">
        <v>8</v>
      </c>
      <c r="AK22" s="38">
        <v>8</v>
      </c>
      <c r="AL22" s="38">
        <v>9</v>
      </c>
      <c r="AM22" s="38">
        <v>8</v>
      </c>
      <c r="AN22" s="38">
        <v>9</v>
      </c>
      <c r="AO22" s="38">
        <v>8</v>
      </c>
      <c r="AP22" s="38">
        <v>10</v>
      </c>
      <c r="AQ22" s="38">
        <v>9</v>
      </c>
      <c r="AR22" s="38">
        <v>10</v>
      </c>
      <c r="AS22" s="38">
        <v>9</v>
      </c>
      <c r="AT22" s="38">
        <v>11</v>
      </c>
      <c r="AU22" s="38">
        <v>10</v>
      </c>
      <c r="AV22" s="38">
        <v>11</v>
      </c>
      <c r="AW22" s="38">
        <v>10</v>
      </c>
      <c r="AX22" s="38">
        <v>12</v>
      </c>
      <c r="AY22" s="38">
        <v>11</v>
      </c>
      <c r="AZ22" s="38">
        <v>12</v>
      </c>
      <c r="BA22" s="38">
        <v>11</v>
      </c>
      <c r="BB22" s="38">
        <v>13</v>
      </c>
      <c r="BC22" s="38">
        <v>12</v>
      </c>
    </row>
    <row r="23" ht="15" customHeight="1">
      <c r="A23" s="19" t="s">
        <v>240</v>
      </c>
      <c r="B23" s="19" t="s">
        <v>126</v>
      </c>
      <c r="C23" s="19" t="s">
        <v>284</v>
      </c>
      <c r="D23" s="19" t="s">
        <v>285</v>
      </c>
      <c r="E23" s="19" t="s">
        <v>286</v>
      </c>
      <c r="F23" s="19" t="s">
        <v>270</v>
      </c>
      <c r="G23" s="38">
        <v>5</v>
      </c>
      <c r="H23" s="38">
        <v>5</v>
      </c>
      <c r="I23" s="38">
        <v>5</v>
      </c>
      <c r="J23" s="38">
        <v>5</v>
      </c>
      <c r="K23" s="38">
        <v>6</v>
      </c>
      <c r="L23" s="38">
        <v>6</v>
      </c>
      <c r="M23" s="38">
        <v>6</v>
      </c>
      <c r="N23" s="38">
        <v>6</v>
      </c>
      <c r="O23" s="38">
        <v>6</v>
      </c>
      <c r="P23" s="38">
        <v>7</v>
      </c>
      <c r="Q23" s="38">
        <v>7</v>
      </c>
      <c r="R23" s="38">
        <v>7</v>
      </c>
      <c r="S23" s="38">
        <v>7</v>
      </c>
      <c r="T23" s="38">
        <v>7</v>
      </c>
      <c r="U23" s="38">
        <v>7</v>
      </c>
      <c r="V23" s="38">
        <v>8</v>
      </c>
      <c r="W23" s="38">
        <v>8</v>
      </c>
      <c r="X23" s="38">
        <v>8</v>
      </c>
      <c r="Y23" s="38">
        <v>8</v>
      </c>
      <c r="Z23" s="38">
        <v>8</v>
      </c>
      <c r="AA23" s="38">
        <v>9</v>
      </c>
      <c r="AB23" s="38">
        <v>9</v>
      </c>
      <c r="AC23" s="38">
        <v>9</v>
      </c>
      <c r="AD23" s="38">
        <v>9</v>
      </c>
      <c r="AE23" s="39"/>
      <c r="AF23" s="38">
        <v>5</v>
      </c>
      <c r="AG23" s="38">
        <v>5</v>
      </c>
      <c r="AH23" s="38">
        <v>6</v>
      </c>
      <c r="AI23" s="38">
        <v>5</v>
      </c>
      <c r="AJ23" s="38">
        <v>6</v>
      </c>
      <c r="AK23" s="38">
        <v>6</v>
      </c>
      <c r="AL23" s="38">
        <v>6</v>
      </c>
      <c r="AM23" s="38">
        <v>6</v>
      </c>
      <c r="AN23" s="38">
        <v>7</v>
      </c>
      <c r="AO23" s="38">
        <v>6</v>
      </c>
      <c r="AP23" s="38">
        <v>7</v>
      </c>
      <c r="AQ23" s="38">
        <v>7</v>
      </c>
      <c r="AR23" s="38">
        <v>8</v>
      </c>
      <c r="AS23" s="38">
        <v>7</v>
      </c>
      <c r="AT23" s="38">
        <v>8</v>
      </c>
      <c r="AU23" s="38">
        <v>7</v>
      </c>
      <c r="AV23" s="38">
        <v>8</v>
      </c>
      <c r="AW23" s="38">
        <v>8</v>
      </c>
      <c r="AX23" s="38">
        <v>9</v>
      </c>
      <c r="AY23" s="38">
        <v>8</v>
      </c>
      <c r="AZ23" s="38">
        <v>9</v>
      </c>
      <c r="BA23" s="38">
        <v>8</v>
      </c>
      <c r="BB23" s="38">
        <v>9</v>
      </c>
      <c r="BC23" s="38">
        <v>9</v>
      </c>
    </row>
    <row r="24" ht="15" customHeight="1">
      <c r="A24" s="19" t="s">
        <v>240</v>
      </c>
      <c r="B24" s="19" t="s">
        <v>287</v>
      </c>
      <c r="C24" s="19" t="s">
        <v>288</v>
      </c>
      <c r="D24" s="19" t="s">
        <v>289</v>
      </c>
      <c r="E24" s="19" t="s">
        <v>290</v>
      </c>
      <c r="F24" s="19" t="s">
        <v>270</v>
      </c>
      <c r="G24" s="38">
        <v>4</v>
      </c>
      <c r="H24" s="38">
        <v>4</v>
      </c>
      <c r="I24" s="38">
        <v>4</v>
      </c>
      <c r="J24" s="38">
        <v>4</v>
      </c>
      <c r="K24" s="38">
        <v>5</v>
      </c>
      <c r="L24" s="38">
        <v>5</v>
      </c>
      <c r="M24" s="38">
        <v>5</v>
      </c>
      <c r="N24" s="38">
        <v>5</v>
      </c>
      <c r="O24" s="38">
        <v>5</v>
      </c>
      <c r="P24" s="38">
        <v>5</v>
      </c>
      <c r="Q24" s="38">
        <v>6</v>
      </c>
      <c r="R24" s="38">
        <v>6</v>
      </c>
      <c r="S24" s="38">
        <v>6</v>
      </c>
      <c r="T24" s="38">
        <v>6</v>
      </c>
      <c r="U24" s="38">
        <v>6</v>
      </c>
      <c r="V24" s="38">
        <v>6</v>
      </c>
      <c r="W24" s="38">
        <v>6</v>
      </c>
      <c r="X24" s="38">
        <v>7</v>
      </c>
      <c r="Y24" s="38">
        <v>7</v>
      </c>
      <c r="Z24" s="38">
        <v>7</v>
      </c>
      <c r="AA24" s="38">
        <v>7</v>
      </c>
      <c r="AB24" s="38">
        <v>7</v>
      </c>
      <c r="AC24" s="38">
        <v>7</v>
      </c>
      <c r="AD24" s="38">
        <v>8</v>
      </c>
      <c r="AE24" s="39"/>
      <c r="AF24" s="38">
        <v>4</v>
      </c>
      <c r="AG24" s="38">
        <v>4</v>
      </c>
      <c r="AH24" s="38">
        <v>5</v>
      </c>
      <c r="AI24" s="38">
        <v>4</v>
      </c>
      <c r="AJ24" s="38">
        <v>5</v>
      </c>
      <c r="AK24" s="38">
        <v>5</v>
      </c>
      <c r="AL24" s="38">
        <v>5</v>
      </c>
      <c r="AM24" s="38">
        <v>5</v>
      </c>
      <c r="AN24" s="38">
        <v>6</v>
      </c>
      <c r="AO24" s="38">
        <v>5</v>
      </c>
      <c r="AP24" s="38">
        <v>6</v>
      </c>
      <c r="AQ24" s="38">
        <v>5</v>
      </c>
      <c r="AR24" s="38">
        <v>6</v>
      </c>
      <c r="AS24" s="38">
        <v>6</v>
      </c>
      <c r="AT24" s="38">
        <v>7</v>
      </c>
      <c r="AU24" s="38">
        <v>6</v>
      </c>
      <c r="AV24" s="38">
        <v>7</v>
      </c>
      <c r="AW24" s="38">
        <v>6</v>
      </c>
      <c r="AX24" s="38">
        <v>7</v>
      </c>
      <c r="AY24" s="38">
        <v>7</v>
      </c>
      <c r="AZ24" s="38">
        <v>8</v>
      </c>
      <c r="BA24" s="38">
        <v>7</v>
      </c>
      <c r="BB24" s="38">
        <v>8</v>
      </c>
      <c r="BC24" s="38">
        <v>7</v>
      </c>
    </row>
    <row r="25" ht="15" customHeight="1">
      <c r="A25" s="19" t="s">
        <v>240</v>
      </c>
      <c r="B25" s="19" t="s">
        <v>291</v>
      </c>
      <c r="C25" s="19" t="s">
        <v>292</v>
      </c>
      <c r="D25" s="19" t="s">
        <v>293</v>
      </c>
      <c r="E25" s="19" t="s">
        <v>294</v>
      </c>
      <c r="F25" s="19" t="s">
        <v>270</v>
      </c>
      <c r="G25" s="38">
        <v>2</v>
      </c>
      <c r="H25" s="38">
        <v>2</v>
      </c>
      <c r="I25" s="38">
        <v>2</v>
      </c>
      <c r="J25" s="38">
        <v>2</v>
      </c>
      <c r="K25" s="38">
        <v>3</v>
      </c>
      <c r="L25" s="38">
        <v>3</v>
      </c>
      <c r="M25" s="38">
        <v>3</v>
      </c>
      <c r="N25" s="38">
        <v>3</v>
      </c>
      <c r="O25" s="38">
        <v>3</v>
      </c>
      <c r="P25" s="38">
        <v>3</v>
      </c>
      <c r="Q25" s="38">
        <v>3</v>
      </c>
      <c r="R25" s="38">
        <v>3</v>
      </c>
      <c r="S25" s="38">
        <v>3</v>
      </c>
      <c r="T25" s="38">
        <v>3</v>
      </c>
      <c r="U25" s="38">
        <v>3</v>
      </c>
      <c r="V25" s="38">
        <v>4</v>
      </c>
      <c r="W25" s="38">
        <v>4</v>
      </c>
      <c r="X25" s="38">
        <v>4</v>
      </c>
      <c r="Y25" s="38">
        <v>4</v>
      </c>
      <c r="Z25" s="38">
        <v>4</v>
      </c>
      <c r="AA25" s="38">
        <v>4</v>
      </c>
      <c r="AB25" s="38">
        <v>4</v>
      </c>
      <c r="AC25" s="38">
        <v>4</v>
      </c>
      <c r="AD25" s="38">
        <v>4</v>
      </c>
      <c r="AE25" s="39"/>
      <c r="AF25" s="38">
        <v>2</v>
      </c>
      <c r="AG25" s="38">
        <v>2</v>
      </c>
      <c r="AH25" s="38">
        <v>3</v>
      </c>
      <c r="AI25" s="38">
        <v>2</v>
      </c>
      <c r="AJ25" s="38">
        <v>3</v>
      </c>
      <c r="AK25" s="38">
        <v>3</v>
      </c>
      <c r="AL25" s="38">
        <v>3</v>
      </c>
      <c r="AM25" s="38">
        <v>3</v>
      </c>
      <c r="AN25" s="38">
        <v>3</v>
      </c>
      <c r="AO25" s="38">
        <v>3</v>
      </c>
      <c r="AP25" s="38">
        <v>3</v>
      </c>
      <c r="AQ25" s="38">
        <v>3</v>
      </c>
      <c r="AR25" s="38">
        <v>4</v>
      </c>
      <c r="AS25" s="38">
        <v>3</v>
      </c>
      <c r="AT25" s="38">
        <v>4</v>
      </c>
      <c r="AU25" s="38">
        <v>3</v>
      </c>
      <c r="AV25" s="38">
        <v>4</v>
      </c>
      <c r="AW25" s="38">
        <v>4</v>
      </c>
      <c r="AX25" s="38">
        <v>4</v>
      </c>
      <c r="AY25" s="38">
        <v>4</v>
      </c>
      <c r="AZ25" s="38">
        <v>4</v>
      </c>
      <c r="BA25" s="38">
        <v>4</v>
      </c>
      <c r="BB25" s="38">
        <v>4</v>
      </c>
      <c r="BC25" s="38">
        <v>4</v>
      </c>
    </row>
    <row r="26" ht="15" customHeight="1">
      <c r="A26" s="19" t="s">
        <v>240</v>
      </c>
      <c r="B26" s="19" t="s">
        <v>129</v>
      </c>
      <c r="C26" s="19" t="s">
        <v>295</v>
      </c>
      <c r="D26" s="19" t="s">
        <v>296</v>
      </c>
      <c r="E26" s="19" t="s">
        <v>297</v>
      </c>
      <c r="F26" s="19" t="s">
        <v>270</v>
      </c>
      <c r="G26" s="38">
        <v>8</v>
      </c>
      <c r="H26" s="38">
        <v>9</v>
      </c>
      <c r="I26" s="38">
        <v>9</v>
      </c>
      <c r="J26" s="38">
        <v>12</v>
      </c>
      <c r="K26" s="38">
        <v>7</v>
      </c>
      <c r="L26" s="38">
        <v>8</v>
      </c>
      <c r="M26" s="38">
        <v>9</v>
      </c>
      <c r="N26" s="38">
        <v>9</v>
      </c>
      <c r="O26" s="38">
        <v>10</v>
      </c>
      <c r="P26" s="38">
        <v>10</v>
      </c>
      <c r="Q26" s="38">
        <v>10</v>
      </c>
      <c r="R26" s="38">
        <v>10</v>
      </c>
      <c r="S26" s="38">
        <v>10</v>
      </c>
      <c r="T26" s="38">
        <v>10</v>
      </c>
      <c r="U26" s="38">
        <v>11</v>
      </c>
      <c r="V26" s="38">
        <v>10</v>
      </c>
      <c r="W26" s="38">
        <v>11</v>
      </c>
      <c r="X26" s="38">
        <v>10</v>
      </c>
      <c r="Y26" s="38">
        <v>10</v>
      </c>
      <c r="Z26" s="38">
        <v>12</v>
      </c>
      <c r="AA26" s="38">
        <v>9</v>
      </c>
      <c r="AB26" s="38">
        <v>12</v>
      </c>
      <c r="AC26" s="38">
        <v>12</v>
      </c>
      <c r="AD26" s="38">
        <v>11</v>
      </c>
      <c r="AE26" s="39"/>
      <c r="AF26" s="38">
        <v>8</v>
      </c>
      <c r="AG26" s="38">
        <v>9</v>
      </c>
      <c r="AH26" s="38">
        <v>7</v>
      </c>
      <c r="AI26" s="38">
        <v>10</v>
      </c>
      <c r="AJ26" s="38">
        <v>9</v>
      </c>
      <c r="AK26" s="38">
        <v>4</v>
      </c>
      <c r="AL26" s="38">
        <v>9</v>
      </c>
      <c r="AM26" s="38">
        <v>8</v>
      </c>
      <c r="AN26" s="38">
        <v>9</v>
      </c>
      <c r="AO26" s="38">
        <v>9</v>
      </c>
      <c r="AP26" s="38">
        <v>10</v>
      </c>
      <c r="AQ26" s="38">
        <v>10</v>
      </c>
      <c r="AR26" s="38">
        <v>10</v>
      </c>
      <c r="AS26" s="38">
        <v>9</v>
      </c>
      <c r="AT26" s="38">
        <v>9</v>
      </c>
      <c r="AU26" s="38">
        <v>11</v>
      </c>
      <c r="AV26" s="38">
        <v>11</v>
      </c>
      <c r="AW26" s="38">
        <v>10</v>
      </c>
      <c r="AX26" s="38">
        <v>11</v>
      </c>
      <c r="AY26" s="38">
        <v>9</v>
      </c>
      <c r="AZ26" s="38">
        <v>11</v>
      </c>
      <c r="BA26" s="38">
        <v>11</v>
      </c>
      <c r="BB26" s="38">
        <v>12</v>
      </c>
      <c r="BC26" s="38">
        <v>10</v>
      </c>
    </row>
    <row r="27" ht="15" customHeight="1">
      <c r="A27" s="22" t="s">
        <v>240</v>
      </c>
      <c r="B27" s="22" t="s">
        <v>126</v>
      </c>
      <c r="C27" s="22" t="s">
        <v>284</v>
      </c>
      <c r="D27" s="22" t="s">
        <v>298</v>
      </c>
      <c r="E27" s="22" t="s">
        <v>299</v>
      </c>
      <c r="F27" s="22" t="s">
        <v>270</v>
      </c>
      <c r="G27" s="40">
        <f t="shared" si="0" ref="G27:BC27">SUM(G16:G26)</f>
        <v>180</v>
      </c>
      <c r="H27" s="40">
        <f t="shared" si="0"/>
        <v>186</v>
      </c>
      <c r="I27" s="40">
        <f t="shared" si="0"/>
        <v>192</v>
      </c>
      <c r="J27" s="40">
        <f t="shared" si="0"/>
        <v>198</v>
      </c>
      <c r="K27" s="40">
        <f t="shared" si="0"/>
        <v>204</v>
      </c>
      <c r="L27" s="40">
        <f t="shared" si="0"/>
        <v>210</v>
      </c>
      <c r="M27" s="40">
        <f t="shared" si="0"/>
        <v>217</v>
      </c>
      <c r="N27" s="40">
        <f t="shared" si="0"/>
        <v>223</v>
      </c>
      <c r="O27" s="40">
        <f t="shared" si="0"/>
        <v>229</v>
      </c>
      <c r="P27" s="40">
        <f t="shared" si="0"/>
        <v>235</v>
      </c>
      <c r="Q27" s="40">
        <f t="shared" si="0"/>
        <v>241</v>
      </c>
      <c r="R27" s="40">
        <f t="shared" si="0"/>
        <v>247</v>
      </c>
      <c r="S27" s="40">
        <f t="shared" si="0"/>
        <v>253</v>
      </c>
      <c r="T27" s="40">
        <f t="shared" si="0"/>
        <v>259</v>
      </c>
      <c r="U27" s="40">
        <f t="shared" si="0"/>
        <v>265</v>
      </c>
      <c r="V27" s="40">
        <f t="shared" si="0"/>
        <v>271</v>
      </c>
      <c r="W27" s="40">
        <f t="shared" si="0"/>
        <v>277</v>
      </c>
      <c r="X27" s="40">
        <f t="shared" si="0"/>
        <v>283</v>
      </c>
      <c r="Y27" s="40">
        <f t="shared" si="0"/>
        <v>290</v>
      </c>
      <c r="Z27" s="40">
        <f t="shared" si="0"/>
        <v>296</v>
      </c>
      <c r="AA27" s="40">
        <f t="shared" si="0"/>
        <v>302</v>
      </c>
      <c r="AB27" s="40">
        <f t="shared" si="0"/>
        <v>308</v>
      </c>
      <c r="AC27" s="40">
        <f t="shared" si="0"/>
        <v>314</v>
      </c>
      <c r="AD27" s="40">
        <f t="shared" si="0"/>
        <v>320</v>
      </c>
      <c r="AE27" s="41"/>
      <c r="AF27" s="40">
        <f t="shared" si="0"/>
        <v>191</v>
      </c>
      <c r="AG27" s="40">
        <f t="shared" si="0"/>
        <v>177</v>
      </c>
      <c r="AH27" s="40">
        <f t="shared" si="0"/>
        <v>204</v>
      </c>
      <c r="AI27" s="40">
        <f t="shared" si="0"/>
        <v>188</v>
      </c>
      <c r="AJ27" s="40">
        <f t="shared" si="0"/>
        <v>216</v>
      </c>
      <c r="AK27" s="40">
        <f t="shared" si="0"/>
        <v>200</v>
      </c>
      <c r="AL27" s="40">
        <f t="shared" si="0"/>
        <v>230</v>
      </c>
      <c r="AM27" s="40">
        <f t="shared" si="0"/>
        <v>212</v>
      </c>
      <c r="AN27" s="40">
        <f t="shared" si="0"/>
        <v>243</v>
      </c>
      <c r="AO27" s="40">
        <f t="shared" si="0"/>
        <v>223</v>
      </c>
      <c r="AP27" s="40">
        <f t="shared" si="0"/>
        <v>255</v>
      </c>
      <c r="AQ27" s="40">
        <f t="shared" si="0"/>
        <v>235</v>
      </c>
      <c r="AR27" s="40">
        <f t="shared" si="0"/>
        <v>268</v>
      </c>
      <c r="AS27" s="40">
        <f t="shared" si="0"/>
        <v>246</v>
      </c>
      <c r="AT27" s="40">
        <f t="shared" si="0"/>
        <v>281</v>
      </c>
      <c r="AU27" s="40">
        <f t="shared" si="0"/>
        <v>257</v>
      </c>
      <c r="AV27" s="40">
        <f t="shared" si="0"/>
        <v>294</v>
      </c>
      <c r="AW27" s="40">
        <f t="shared" si="0"/>
        <v>269</v>
      </c>
      <c r="AX27" s="40">
        <f t="shared" si="0"/>
        <v>307</v>
      </c>
      <c r="AY27" s="40">
        <f t="shared" si="0"/>
        <v>281</v>
      </c>
      <c r="AZ27" s="40">
        <f t="shared" si="0"/>
        <v>320</v>
      </c>
      <c r="BA27" s="40">
        <f t="shared" si="0"/>
        <v>293</v>
      </c>
      <c r="BB27" s="40">
        <f t="shared" si="0"/>
        <v>333</v>
      </c>
      <c r="BC27" s="40">
        <f t="shared" si="0"/>
        <v>304</v>
      </c>
    </row>
    <row r="28" ht="15" customHeight="1">
      <c r="A28" s="19" t="s">
        <v>240</v>
      </c>
      <c r="B28" s="19" t="s">
        <v>126</v>
      </c>
      <c r="C28" s="19" t="s">
        <v>284</v>
      </c>
      <c r="D28" s="19" t="s">
        <v>300</v>
      </c>
      <c r="E28" s="19" t="s">
        <v>301</v>
      </c>
      <c r="F28" s="19" t="s">
        <v>270</v>
      </c>
      <c r="G28" s="38">
        <v>28</v>
      </c>
      <c r="H28" s="38">
        <v>30</v>
      </c>
      <c r="I28" s="38">
        <v>31</v>
      </c>
      <c r="J28" s="38">
        <v>33</v>
      </c>
      <c r="K28" s="38">
        <v>33</v>
      </c>
      <c r="L28" s="38">
        <v>33</v>
      </c>
      <c r="M28" s="38">
        <v>33</v>
      </c>
      <c r="N28" s="38">
        <v>33</v>
      </c>
      <c r="O28" s="38">
        <v>33</v>
      </c>
      <c r="P28" s="38">
        <v>34</v>
      </c>
      <c r="Q28" s="38">
        <v>35</v>
      </c>
      <c r="R28" s="38">
        <v>36</v>
      </c>
      <c r="S28" s="38">
        <v>38</v>
      </c>
      <c r="T28" s="38">
        <v>39</v>
      </c>
      <c r="U28" s="38">
        <v>41</v>
      </c>
      <c r="V28" s="38">
        <v>43</v>
      </c>
      <c r="W28" s="38">
        <v>44</v>
      </c>
      <c r="X28" s="38">
        <v>44</v>
      </c>
      <c r="Y28" s="38">
        <v>44</v>
      </c>
      <c r="Z28" s="38">
        <v>44</v>
      </c>
      <c r="AA28" s="38">
        <v>44</v>
      </c>
      <c r="AB28" s="38">
        <v>44</v>
      </c>
      <c r="AC28" s="38">
        <v>45</v>
      </c>
      <c r="AD28" s="38">
        <v>46</v>
      </c>
      <c r="AE28" s="39"/>
      <c r="AF28" s="38">
        <v>29.474</v>
      </c>
      <c r="AG28" s="38">
        <v>28.302</v>
      </c>
      <c r="AH28" s="38">
        <v>33.333</v>
      </c>
      <c r="AI28" s="38">
        <v>30.556</v>
      </c>
      <c r="AJ28" s="38">
        <v>36.264</v>
      </c>
      <c r="AK28" s="38">
        <v>30</v>
      </c>
      <c r="AL28" s="38">
        <v>34.737</v>
      </c>
      <c r="AM28" s="38">
        <v>31.132</v>
      </c>
      <c r="AN28" s="38">
        <v>35.484</v>
      </c>
      <c r="AO28" s="38">
        <v>31.481</v>
      </c>
      <c r="AP28" s="38">
        <v>38.462</v>
      </c>
      <c r="AQ28" s="38">
        <v>32.727</v>
      </c>
      <c r="AR28" s="38">
        <v>40</v>
      </c>
      <c r="AS28" s="38">
        <v>36.792</v>
      </c>
      <c r="AT28" s="38">
        <v>44.086</v>
      </c>
      <c r="AU28" s="38">
        <v>39.815</v>
      </c>
      <c r="AV28" s="38">
        <v>48.352</v>
      </c>
      <c r="AW28" s="38">
        <v>40</v>
      </c>
      <c r="AX28" s="38">
        <v>46.316</v>
      </c>
      <c r="AY28" s="38">
        <v>41.509</v>
      </c>
      <c r="AZ28" s="38">
        <v>47.312</v>
      </c>
      <c r="BA28" s="38">
        <v>40.741</v>
      </c>
      <c r="BB28" s="38">
        <v>49.451</v>
      </c>
      <c r="BC28" s="38">
        <v>41.818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67ECC6E-AD08-5E21-97D3-DE023470B0C8}" mc:Ignorable="x14ac xr xr2 xr3">
  <dimension ref="A1:CV10000"/>
  <sheetViews>
    <sheetView showGridLines="0" workbookViewId="0">
      <pane xSplit="6" ySplit="3" topLeftCell="G4" activePane="bottomRight" state="frozen"/>
      <selection pane="bottomLeft" activeCell="A4" sqref="A4"/>
      <selection pane="topRight" activeCell="G1" sqref="G1"/>
      <selection pane="bottomRight" activeCell="A1" sqref="A1"/>
    </sheetView>
  </sheetViews>
  <sheetFormatPr defaultRowHeight="15" defaultColWidth="7.75390625" customHeight="1"/>
  <cols>
    <col min="1" max="1" width="16.25390625" customWidth="1"/>
    <col min="2" max="2" width="19.375" customWidth="1"/>
    <col min="3" max="3" width="10.625" customWidth="1"/>
    <col min="4" max="4" width="9.375" customWidth="1"/>
    <col min="5" max="5" width="30.00390625" customWidth="1"/>
    <col min="6" max="6" width="8.125" customWidth="1"/>
    <col min="7" max="30" width="9.00390625" customWidth="1"/>
    <col min="31" max="31" width="2.25390625" customWidth="1"/>
    <col min="32" max="55" width="9.00390625" customWidth="1"/>
  </cols>
  <sheetData>
    <row r="1" ht="15" customHeight="1">
      <c r="A1" s="15" t="s">
        <v>302</v>
      </c>
      <c r="B1" s="15" t="s">
        <v>303</v>
      </c>
      <c r="C1" s="15"/>
      <c r="D1" s="15"/>
      <c r="E1" s="15" t="s">
        <v>304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ht="15" customHeight="1">
      <c r="A2" s="17"/>
      <c r="B2" s="17"/>
      <c r="C2" s="17"/>
      <c r="D2" s="17"/>
      <c r="E2" s="17"/>
      <c r="F2" s="17"/>
      <c r="G2" s="17" t="s">
        <v>305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/>
      <c r="AF2" s="17" t="s">
        <v>4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ht="22.5" customHeight="1">
      <c r="A3" s="17" t="s">
        <v>5</v>
      </c>
      <c r="B3" s="17" t="s">
        <v>6</v>
      </c>
      <c r="C3" s="17" t="s">
        <v>7</v>
      </c>
      <c r="D3" s="17" t="s">
        <v>8</v>
      </c>
      <c r="E3" s="17" t="s">
        <v>9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7" t="s">
        <v>26</v>
      </c>
      <c r="W3" s="17" t="s">
        <v>27</v>
      </c>
      <c r="X3" s="17" t="s">
        <v>28</v>
      </c>
      <c r="Y3" s="17" t="s">
        <v>29</v>
      </c>
      <c r="Z3" s="17" t="s">
        <v>30</v>
      </c>
      <c r="AA3" s="17" t="s">
        <v>31</v>
      </c>
      <c r="AB3" s="17" t="s">
        <v>32</v>
      </c>
      <c r="AC3" s="17" t="s">
        <v>33</v>
      </c>
      <c r="AD3" s="17" t="s">
        <v>34</v>
      </c>
      <c r="AE3" s="18"/>
      <c r="AF3" s="17" t="s">
        <v>11</v>
      </c>
      <c r="AG3" s="17" t="s">
        <v>12</v>
      </c>
      <c r="AH3" s="17" t="s">
        <v>13</v>
      </c>
      <c r="AI3" s="17" t="s">
        <v>14</v>
      </c>
      <c r="AJ3" s="17" t="s">
        <v>15</v>
      </c>
      <c r="AK3" s="17" t="s">
        <v>16</v>
      </c>
      <c r="AL3" s="17" t="s">
        <v>17</v>
      </c>
      <c r="AM3" s="17" t="s">
        <v>18</v>
      </c>
      <c r="AN3" s="17" t="s">
        <v>19</v>
      </c>
      <c r="AO3" s="17" t="s">
        <v>20</v>
      </c>
      <c r="AP3" s="17" t="s">
        <v>21</v>
      </c>
      <c r="AQ3" s="17" t="s">
        <v>22</v>
      </c>
      <c r="AR3" s="17" t="s">
        <v>23</v>
      </c>
      <c r="AS3" s="17" t="s">
        <v>24</v>
      </c>
      <c r="AT3" s="17" t="s">
        <v>25</v>
      </c>
      <c r="AU3" s="17" t="s">
        <v>26</v>
      </c>
      <c r="AV3" s="17" t="s">
        <v>27</v>
      </c>
      <c r="AW3" s="17" t="s">
        <v>28</v>
      </c>
      <c r="AX3" s="17" t="s">
        <v>29</v>
      </c>
      <c r="AY3" s="17" t="s">
        <v>30</v>
      </c>
      <c r="AZ3" s="17" t="s">
        <v>31</v>
      </c>
      <c r="BA3" s="17" t="s">
        <v>32</v>
      </c>
      <c r="BB3" s="17" t="s">
        <v>33</v>
      </c>
      <c r="BC3" s="17" t="s">
        <v>34</v>
      </c>
    </row>
    <row r="4" ht="15" customHeight="1">
      <c r="A4" s="19" t="s">
        <v>35</v>
      </c>
      <c r="B4" s="19" t="s">
        <v>126</v>
      </c>
      <c r="C4" s="19" t="s">
        <v>284</v>
      </c>
      <c r="D4" s="19">
        <v>9000</v>
      </c>
      <c r="E4" s="19" t="s">
        <v>306</v>
      </c>
      <c r="F4" s="19" t="s">
        <v>39</v>
      </c>
      <c r="G4" s="25">
        <v>0</v>
      </c>
      <c r="H4" s="25">
        <v>0</v>
      </c>
      <c r="I4" s="20">
        <v>180</v>
      </c>
      <c r="J4" s="20">
        <v>95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0">
        <v>420</v>
      </c>
      <c r="W4" s="20">
        <v>165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1"/>
      <c r="AF4" s="25">
        <v>0</v>
      </c>
      <c r="AG4" s="25">
        <v>0</v>
      </c>
      <c r="AH4" s="20">
        <v>150</v>
      </c>
      <c r="AI4" s="20">
        <v>80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0</v>
      </c>
      <c r="AP4" s="25">
        <v>0</v>
      </c>
      <c r="AQ4" s="25">
        <v>0</v>
      </c>
      <c r="AR4" s="25">
        <v>0</v>
      </c>
      <c r="AS4" s="25">
        <v>0</v>
      </c>
      <c r="AT4" s="25">
        <v>0</v>
      </c>
      <c r="AU4" s="20">
        <v>350</v>
      </c>
      <c r="AV4" s="20">
        <v>140</v>
      </c>
      <c r="AW4" s="25">
        <v>0</v>
      </c>
      <c r="AX4" s="25">
        <v>0</v>
      </c>
      <c r="AY4" s="25">
        <v>0</v>
      </c>
      <c r="AZ4" s="25">
        <v>0</v>
      </c>
      <c r="BA4" s="25">
        <v>0</v>
      </c>
      <c r="BB4" s="25">
        <v>0</v>
      </c>
      <c r="BC4" s="25">
        <v>0</v>
      </c>
    </row>
    <row r="5" ht="15" customHeight="1">
      <c r="A5" s="19" t="s">
        <v>35</v>
      </c>
      <c r="B5" s="19" t="s">
        <v>126</v>
      </c>
      <c r="C5" s="19" t="s">
        <v>284</v>
      </c>
      <c r="D5" s="19">
        <v>9020</v>
      </c>
      <c r="E5" s="19" t="s">
        <v>307</v>
      </c>
      <c r="F5" s="19" t="s">
        <v>39</v>
      </c>
      <c r="G5" s="20">
        <v>118</v>
      </c>
      <c r="H5" s="20">
        <v>123</v>
      </c>
      <c r="I5" s="20">
        <v>128</v>
      </c>
      <c r="J5" s="20">
        <v>133</v>
      </c>
      <c r="K5" s="20">
        <v>138</v>
      </c>
      <c r="L5" s="20">
        <v>143</v>
      </c>
      <c r="M5" s="20">
        <v>148</v>
      </c>
      <c r="N5" s="20">
        <v>153</v>
      </c>
      <c r="O5" s="20">
        <v>158</v>
      </c>
      <c r="P5" s="20">
        <v>163</v>
      </c>
      <c r="Q5" s="20">
        <v>168</v>
      </c>
      <c r="R5" s="20">
        <v>173</v>
      </c>
      <c r="S5" s="20">
        <v>178</v>
      </c>
      <c r="T5" s="20">
        <v>183</v>
      </c>
      <c r="U5" s="20">
        <v>188</v>
      </c>
      <c r="V5" s="20">
        <v>193</v>
      </c>
      <c r="W5" s="20">
        <v>198</v>
      </c>
      <c r="X5" s="20">
        <v>203</v>
      </c>
      <c r="Y5" s="20">
        <v>208</v>
      </c>
      <c r="Z5" s="20">
        <v>213</v>
      </c>
      <c r="AA5" s="20">
        <v>218</v>
      </c>
      <c r="AB5" s="20">
        <v>223</v>
      </c>
      <c r="AC5" s="20">
        <v>228</v>
      </c>
      <c r="AD5" s="20">
        <v>233</v>
      </c>
      <c r="AE5" s="21"/>
      <c r="AF5" s="20">
        <v>110.3</v>
      </c>
      <c r="AG5" s="20">
        <v>115</v>
      </c>
      <c r="AH5" s="20">
        <v>119.6</v>
      </c>
      <c r="AI5" s="20">
        <v>124.3</v>
      </c>
      <c r="AJ5" s="20">
        <v>129</v>
      </c>
      <c r="AK5" s="20">
        <v>133.6</v>
      </c>
      <c r="AL5" s="20">
        <v>138.3</v>
      </c>
      <c r="AM5" s="20">
        <v>143</v>
      </c>
      <c r="AN5" s="20">
        <v>147.7</v>
      </c>
      <c r="AO5" s="20">
        <v>152.3</v>
      </c>
      <c r="AP5" s="20">
        <v>157</v>
      </c>
      <c r="AQ5" s="20">
        <v>161.7</v>
      </c>
      <c r="AR5" s="20">
        <v>166.4</v>
      </c>
      <c r="AS5" s="20">
        <v>171</v>
      </c>
      <c r="AT5" s="20">
        <v>175.7</v>
      </c>
      <c r="AU5" s="20">
        <v>180.4</v>
      </c>
      <c r="AV5" s="20">
        <v>185</v>
      </c>
      <c r="AW5" s="20">
        <v>189.7</v>
      </c>
      <c r="AX5" s="20">
        <v>194.4</v>
      </c>
      <c r="AY5" s="20">
        <v>199.1</v>
      </c>
      <c r="AZ5" s="20">
        <v>203.7</v>
      </c>
      <c r="BA5" s="20">
        <v>208.4</v>
      </c>
      <c r="BB5" s="20">
        <v>213.1</v>
      </c>
      <c r="BC5" s="20">
        <v>217.8</v>
      </c>
    </row>
    <row r="6" ht="15" customHeight="1">
      <c r="A6" s="22" t="s">
        <v>35</v>
      </c>
      <c r="B6" s="22" t="s">
        <v>126</v>
      </c>
      <c r="C6" s="22" t="s">
        <v>42</v>
      </c>
      <c r="D6" s="22" t="s">
        <v>43</v>
      </c>
      <c r="E6" s="22" t="s">
        <v>308</v>
      </c>
      <c r="F6" s="22" t="s">
        <v>39</v>
      </c>
      <c r="G6" s="23">
        <f t="shared" si="0" ref="G6:BC18">SUM(G4:G5)</f>
        <v>118</v>
      </c>
      <c r="H6" s="23">
        <f t="shared" si="0"/>
        <v>123</v>
      </c>
      <c r="I6" s="23">
        <f t="shared" si="0"/>
        <v>308</v>
      </c>
      <c r="J6" s="23">
        <f t="shared" si="0"/>
        <v>228</v>
      </c>
      <c r="K6" s="23">
        <f t="shared" si="0"/>
        <v>138</v>
      </c>
      <c r="L6" s="23">
        <f t="shared" si="0"/>
        <v>143</v>
      </c>
      <c r="M6" s="23">
        <f t="shared" si="0"/>
        <v>148</v>
      </c>
      <c r="N6" s="23">
        <f t="shared" si="0"/>
        <v>153</v>
      </c>
      <c r="O6" s="23">
        <f t="shared" si="0"/>
        <v>158</v>
      </c>
      <c r="P6" s="23">
        <f t="shared" si="0"/>
        <v>163</v>
      </c>
      <c r="Q6" s="23">
        <f t="shared" si="0"/>
        <v>168</v>
      </c>
      <c r="R6" s="23">
        <f t="shared" si="0"/>
        <v>173</v>
      </c>
      <c r="S6" s="23">
        <f t="shared" si="0"/>
        <v>178</v>
      </c>
      <c r="T6" s="23">
        <f t="shared" si="0"/>
        <v>183</v>
      </c>
      <c r="U6" s="23">
        <f t="shared" si="0"/>
        <v>188</v>
      </c>
      <c r="V6" s="23">
        <f t="shared" si="0"/>
        <v>613</v>
      </c>
      <c r="W6" s="23">
        <f t="shared" si="0"/>
        <v>363</v>
      </c>
      <c r="X6" s="23">
        <f t="shared" si="0"/>
        <v>203</v>
      </c>
      <c r="Y6" s="23">
        <f t="shared" si="0"/>
        <v>208</v>
      </c>
      <c r="Z6" s="23">
        <f t="shared" si="0"/>
        <v>213</v>
      </c>
      <c r="AA6" s="23">
        <f t="shared" si="0"/>
        <v>218</v>
      </c>
      <c r="AB6" s="23">
        <f t="shared" si="0"/>
        <v>223</v>
      </c>
      <c r="AC6" s="23">
        <f t="shared" si="0"/>
        <v>228</v>
      </c>
      <c r="AD6" s="23">
        <f t="shared" si="0"/>
        <v>233</v>
      </c>
      <c r="AE6" s="24"/>
      <c r="AF6" s="23">
        <f t="shared" si="0"/>
        <v>110.3</v>
      </c>
      <c r="AG6" s="23">
        <f t="shared" si="0"/>
        <v>115</v>
      </c>
      <c r="AH6" s="23">
        <f t="shared" si="0"/>
        <v>269.6</v>
      </c>
      <c r="AI6" s="23">
        <f t="shared" si="0"/>
        <v>204.3</v>
      </c>
      <c r="AJ6" s="23">
        <f t="shared" si="0"/>
        <v>129</v>
      </c>
      <c r="AK6" s="23">
        <f t="shared" si="0"/>
        <v>133.6</v>
      </c>
      <c r="AL6" s="23">
        <f t="shared" si="0"/>
        <v>138.3</v>
      </c>
      <c r="AM6" s="23">
        <f t="shared" si="0"/>
        <v>143</v>
      </c>
      <c r="AN6" s="23">
        <f t="shared" si="0"/>
        <v>147.7</v>
      </c>
      <c r="AO6" s="23">
        <f t="shared" si="0"/>
        <v>152.3</v>
      </c>
      <c r="AP6" s="23">
        <f t="shared" si="0"/>
        <v>157</v>
      </c>
      <c r="AQ6" s="23">
        <f t="shared" si="0"/>
        <v>161.7</v>
      </c>
      <c r="AR6" s="23">
        <f t="shared" si="0"/>
        <v>166.4</v>
      </c>
      <c r="AS6" s="23">
        <f t="shared" si="0"/>
        <v>171</v>
      </c>
      <c r="AT6" s="23">
        <f t="shared" si="0"/>
        <v>175.7</v>
      </c>
      <c r="AU6" s="23">
        <f t="shared" si="0"/>
        <v>530.4</v>
      </c>
      <c r="AV6" s="23">
        <f t="shared" si="0"/>
        <v>325</v>
      </c>
      <c r="AW6" s="23">
        <f t="shared" si="0"/>
        <v>189.7</v>
      </c>
      <c r="AX6" s="23">
        <f t="shared" si="0"/>
        <v>194.4</v>
      </c>
      <c r="AY6" s="23">
        <f t="shared" si="0"/>
        <v>199.1</v>
      </c>
      <c r="AZ6" s="23">
        <f t="shared" si="0"/>
        <v>203.7</v>
      </c>
      <c r="BA6" s="23">
        <f t="shared" si="0"/>
        <v>208.4</v>
      </c>
      <c r="BB6" s="23">
        <f t="shared" si="0"/>
        <v>213.1</v>
      </c>
      <c r="BC6" s="23">
        <f t="shared" si="0"/>
        <v>217.8</v>
      </c>
    </row>
    <row r="7" ht="15" customHeight="1">
      <c r="A7" s="19" t="s">
        <v>45</v>
      </c>
      <c r="B7" s="19" t="s">
        <v>45</v>
      </c>
      <c r="C7" s="19" t="s">
        <v>45</v>
      </c>
      <c r="D7" s="19" t="s">
        <v>45</v>
      </c>
      <c r="E7" s="19" t="s">
        <v>45</v>
      </c>
      <c r="F7" s="19" t="s">
        <v>45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1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</row>
    <row r="8" ht="15" customHeight="1">
      <c r="A8" s="19" t="s">
        <v>213</v>
      </c>
      <c r="B8" s="19" t="s">
        <v>309</v>
      </c>
      <c r="C8" s="19" t="s">
        <v>310</v>
      </c>
      <c r="D8" s="19">
        <v>9010</v>
      </c>
      <c r="E8" s="19" t="s">
        <v>311</v>
      </c>
      <c r="F8" s="19" t="s">
        <v>39</v>
      </c>
      <c r="G8" s="25">
        <v>0</v>
      </c>
      <c r="H8" s="20">
        <v>65</v>
      </c>
      <c r="I8" s="20">
        <v>210</v>
      </c>
      <c r="J8" s="20">
        <v>340</v>
      </c>
      <c r="K8" s="20">
        <v>125</v>
      </c>
      <c r="L8" s="25">
        <v>0</v>
      </c>
      <c r="M8" s="25">
        <v>0</v>
      </c>
      <c r="N8" s="20">
        <v>85</v>
      </c>
      <c r="O8" s="20">
        <v>190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0">
        <v>75</v>
      </c>
      <c r="X8" s="20">
        <v>260</v>
      </c>
      <c r="Y8" s="20">
        <v>410</v>
      </c>
      <c r="Z8" s="20">
        <v>140</v>
      </c>
      <c r="AA8" s="25">
        <v>0</v>
      </c>
      <c r="AB8" s="25">
        <v>0</v>
      </c>
      <c r="AC8" s="25">
        <v>0</v>
      </c>
      <c r="AD8" s="25">
        <v>0</v>
      </c>
      <c r="AE8" s="21"/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</row>
    <row r="9" ht="15" customHeight="1">
      <c r="A9" s="19" t="s">
        <v>213</v>
      </c>
      <c r="B9" s="19" t="s">
        <v>309</v>
      </c>
      <c r="C9" s="19" t="s">
        <v>310</v>
      </c>
      <c r="D9" s="19">
        <v>9030</v>
      </c>
      <c r="E9" s="19" t="s">
        <v>312</v>
      </c>
      <c r="F9" s="19" t="s">
        <v>39</v>
      </c>
      <c r="G9" s="20">
        <v>42</v>
      </c>
      <c r="H9" s="20">
        <v>42</v>
      </c>
      <c r="I9" s="20">
        <v>42</v>
      </c>
      <c r="J9" s="20">
        <v>42</v>
      </c>
      <c r="K9" s="20">
        <v>42</v>
      </c>
      <c r="L9" s="20">
        <v>42</v>
      </c>
      <c r="M9" s="20">
        <v>42</v>
      </c>
      <c r="N9" s="20">
        <v>42</v>
      </c>
      <c r="O9" s="20">
        <v>42</v>
      </c>
      <c r="P9" s="20">
        <v>42</v>
      </c>
      <c r="Q9" s="20">
        <v>42</v>
      </c>
      <c r="R9" s="20">
        <v>42</v>
      </c>
      <c r="S9" s="20">
        <v>42</v>
      </c>
      <c r="T9" s="20">
        <v>42</v>
      </c>
      <c r="U9" s="20">
        <v>42</v>
      </c>
      <c r="V9" s="20">
        <v>42</v>
      </c>
      <c r="W9" s="20">
        <v>42</v>
      </c>
      <c r="X9" s="20">
        <v>42</v>
      </c>
      <c r="Y9" s="20">
        <v>42</v>
      </c>
      <c r="Z9" s="20">
        <v>42</v>
      </c>
      <c r="AA9" s="20">
        <v>42</v>
      </c>
      <c r="AB9" s="20">
        <v>42</v>
      </c>
      <c r="AC9" s="20">
        <v>42</v>
      </c>
      <c r="AD9" s="20">
        <v>42</v>
      </c>
      <c r="AE9" s="21"/>
      <c r="AF9" s="20">
        <v>40</v>
      </c>
      <c r="AG9" s="20">
        <v>40</v>
      </c>
      <c r="AH9" s="20">
        <v>40</v>
      </c>
      <c r="AI9" s="20">
        <v>40</v>
      </c>
      <c r="AJ9" s="20">
        <v>40</v>
      </c>
      <c r="AK9" s="20">
        <v>40</v>
      </c>
      <c r="AL9" s="20">
        <v>40</v>
      </c>
      <c r="AM9" s="20">
        <v>40</v>
      </c>
      <c r="AN9" s="20">
        <v>40</v>
      </c>
      <c r="AO9" s="20">
        <v>40</v>
      </c>
      <c r="AP9" s="20">
        <v>40</v>
      </c>
      <c r="AQ9" s="20">
        <v>40</v>
      </c>
      <c r="AR9" s="20">
        <v>40</v>
      </c>
      <c r="AS9" s="20">
        <v>40</v>
      </c>
      <c r="AT9" s="20">
        <v>40</v>
      </c>
      <c r="AU9" s="20">
        <v>40</v>
      </c>
      <c r="AV9" s="20">
        <v>40</v>
      </c>
      <c r="AW9" s="20">
        <v>40</v>
      </c>
      <c r="AX9" s="20">
        <v>40</v>
      </c>
      <c r="AY9" s="20">
        <v>40</v>
      </c>
      <c r="AZ9" s="20">
        <v>40</v>
      </c>
      <c r="BA9" s="20">
        <v>40</v>
      </c>
      <c r="BB9" s="20">
        <v>40</v>
      </c>
      <c r="BC9" s="20">
        <v>40</v>
      </c>
    </row>
    <row r="10" ht="15" customHeight="1">
      <c r="A10" s="22" t="s">
        <v>213</v>
      </c>
      <c r="B10" s="22" t="s">
        <v>309</v>
      </c>
      <c r="C10" s="22" t="s">
        <v>42</v>
      </c>
      <c r="D10" s="22" t="s">
        <v>43</v>
      </c>
      <c r="E10" s="22" t="s">
        <v>313</v>
      </c>
      <c r="F10" s="22" t="s">
        <v>39</v>
      </c>
      <c r="G10" s="23">
        <f t="shared" si="0"/>
        <v>42</v>
      </c>
      <c r="H10" s="23">
        <f t="shared" si="0"/>
        <v>107</v>
      </c>
      <c r="I10" s="23">
        <f t="shared" si="0"/>
        <v>252</v>
      </c>
      <c r="J10" s="23">
        <f t="shared" si="0"/>
        <v>382</v>
      </c>
      <c r="K10" s="23">
        <f t="shared" si="0"/>
        <v>167</v>
      </c>
      <c r="L10" s="23">
        <f t="shared" si="0"/>
        <v>42</v>
      </c>
      <c r="M10" s="23">
        <f t="shared" si="0"/>
        <v>42</v>
      </c>
      <c r="N10" s="23">
        <f t="shared" si="0"/>
        <v>127</v>
      </c>
      <c r="O10" s="23">
        <f t="shared" si="0"/>
        <v>232</v>
      </c>
      <c r="P10" s="23">
        <f t="shared" si="0"/>
        <v>42</v>
      </c>
      <c r="Q10" s="23">
        <f t="shared" si="0"/>
        <v>42</v>
      </c>
      <c r="R10" s="23">
        <f t="shared" si="0"/>
        <v>42</v>
      </c>
      <c r="S10" s="23">
        <f t="shared" si="0"/>
        <v>42</v>
      </c>
      <c r="T10" s="23">
        <f t="shared" si="0"/>
        <v>42</v>
      </c>
      <c r="U10" s="23">
        <f t="shared" si="0"/>
        <v>42</v>
      </c>
      <c r="V10" s="23">
        <f t="shared" si="0"/>
        <v>42</v>
      </c>
      <c r="W10" s="23">
        <f t="shared" si="0"/>
        <v>117</v>
      </c>
      <c r="X10" s="23">
        <f t="shared" si="0"/>
        <v>302</v>
      </c>
      <c r="Y10" s="23">
        <f t="shared" si="0"/>
        <v>452</v>
      </c>
      <c r="Z10" s="23">
        <f t="shared" si="0"/>
        <v>182</v>
      </c>
      <c r="AA10" s="23">
        <f t="shared" si="0"/>
        <v>42</v>
      </c>
      <c r="AB10" s="23">
        <f t="shared" si="0"/>
        <v>42</v>
      </c>
      <c r="AC10" s="23">
        <f t="shared" si="0"/>
        <v>42</v>
      </c>
      <c r="AD10" s="23">
        <f t="shared" si="0"/>
        <v>42</v>
      </c>
      <c r="AE10" s="24"/>
      <c r="AF10" s="23">
        <f t="shared" si="0"/>
        <v>40</v>
      </c>
      <c r="AG10" s="23">
        <f t="shared" si="0"/>
        <v>40</v>
      </c>
      <c r="AH10" s="23">
        <f t="shared" si="0"/>
        <v>40</v>
      </c>
      <c r="AI10" s="23">
        <f t="shared" si="0"/>
        <v>40</v>
      </c>
      <c r="AJ10" s="23">
        <f t="shared" si="0"/>
        <v>40</v>
      </c>
      <c r="AK10" s="23">
        <f t="shared" si="0"/>
        <v>40</v>
      </c>
      <c r="AL10" s="23">
        <f t="shared" si="0"/>
        <v>40</v>
      </c>
      <c r="AM10" s="23">
        <f t="shared" si="0"/>
        <v>40</v>
      </c>
      <c r="AN10" s="23">
        <f t="shared" si="0"/>
        <v>40</v>
      </c>
      <c r="AO10" s="23">
        <f t="shared" si="0"/>
        <v>40</v>
      </c>
      <c r="AP10" s="23">
        <f t="shared" si="0"/>
        <v>40</v>
      </c>
      <c r="AQ10" s="23">
        <f t="shared" si="0"/>
        <v>40</v>
      </c>
      <c r="AR10" s="23">
        <f t="shared" si="0"/>
        <v>40</v>
      </c>
      <c r="AS10" s="23">
        <f t="shared" si="0"/>
        <v>40</v>
      </c>
      <c r="AT10" s="23">
        <f t="shared" si="0"/>
        <v>40</v>
      </c>
      <c r="AU10" s="23">
        <f t="shared" si="0"/>
        <v>40</v>
      </c>
      <c r="AV10" s="23">
        <f t="shared" si="0"/>
        <v>40</v>
      </c>
      <c r="AW10" s="23">
        <f t="shared" si="0"/>
        <v>40</v>
      </c>
      <c r="AX10" s="23">
        <f t="shared" si="0"/>
        <v>40</v>
      </c>
      <c r="AY10" s="23">
        <f t="shared" si="0"/>
        <v>40</v>
      </c>
      <c r="AZ10" s="23">
        <f t="shared" si="0"/>
        <v>40</v>
      </c>
      <c r="BA10" s="23">
        <f t="shared" si="0"/>
        <v>40</v>
      </c>
      <c r="BB10" s="23">
        <f t="shared" si="0"/>
        <v>40</v>
      </c>
      <c r="BC10" s="23">
        <f t="shared" si="0"/>
        <v>40</v>
      </c>
    </row>
    <row r="11" ht="15" customHeight="1">
      <c r="A11" s="19" t="s">
        <v>45</v>
      </c>
      <c r="B11" s="19" t="s">
        <v>45</v>
      </c>
      <c r="C11" s="19" t="s">
        <v>45</v>
      </c>
      <c r="D11" s="19" t="s">
        <v>45</v>
      </c>
      <c r="E11" s="19" t="s">
        <v>45</v>
      </c>
      <c r="F11" s="19" t="s">
        <v>45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1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</row>
    <row r="12" ht="15" customHeight="1">
      <c r="A12" s="19" t="s">
        <v>35</v>
      </c>
      <c r="B12" s="19" t="s">
        <v>291</v>
      </c>
      <c r="C12" s="19" t="s">
        <v>292</v>
      </c>
      <c r="D12" s="19">
        <v>9040</v>
      </c>
      <c r="E12" s="19" t="s">
        <v>314</v>
      </c>
      <c r="F12" s="19" t="s">
        <v>39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0">
        <v>780</v>
      </c>
      <c r="Q12" s="20">
        <v>120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1"/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</row>
    <row r="13" ht="15" customHeight="1">
      <c r="A13" s="19" t="s">
        <v>35</v>
      </c>
      <c r="B13" s="19" t="s">
        <v>291</v>
      </c>
      <c r="C13" s="19" t="s">
        <v>292</v>
      </c>
      <c r="D13" s="19">
        <v>9070</v>
      </c>
      <c r="E13" s="19" t="s">
        <v>315</v>
      </c>
      <c r="F13" s="19" t="s">
        <v>39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0">
        <v>210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1"/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0">
        <v>190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</row>
    <row r="14" ht="15" customHeight="1">
      <c r="A14" s="22" t="s">
        <v>35</v>
      </c>
      <c r="B14" s="22" t="s">
        <v>291</v>
      </c>
      <c r="C14" s="22" t="s">
        <v>42</v>
      </c>
      <c r="D14" s="22" t="s">
        <v>43</v>
      </c>
      <c r="E14" s="22" t="s">
        <v>316</v>
      </c>
      <c r="F14" s="22" t="s">
        <v>39</v>
      </c>
      <c r="G14" s="23">
        <f t="shared" si="0"/>
        <v>0</v>
      </c>
      <c r="H14" s="23">
        <f t="shared" si="0"/>
        <v>0</v>
      </c>
      <c r="I14" s="23">
        <f t="shared" si="0"/>
        <v>0</v>
      </c>
      <c r="J14" s="23">
        <f t="shared" si="0"/>
        <v>0</v>
      </c>
      <c r="K14" s="23">
        <f t="shared" si="0"/>
        <v>0</v>
      </c>
      <c r="L14" s="23">
        <f t="shared" si="0"/>
        <v>0</v>
      </c>
      <c r="M14" s="23">
        <f t="shared" si="0"/>
        <v>0</v>
      </c>
      <c r="N14" s="23">
        <f t="shared" si="0"/>
        <v>0</v>
      </c>
      <c r="O14" s="23">
        <f t="shared" si="0"/>
        <v>0</v>
      </c>
      <c r="P14" s="23">
        <f t="shared" si="0"/>
        <v>780</v>
      </c>
      <c r="Q14" s="23">
        <f t="shared" si="0"/>
        <v>120</v>
      </c>
      <c r="R14" s="23">
        <f t="shared" si="0"/>
        <v>0</v>
      </c>
      <c r="S14" s="23">
        <f t="shared" si="0"/>
        <v>0</v>
      </c>
      <c r="T14" s="23">
        <f t="shared" si="0"/>
        <v>0</v>
      </c>
      <c r="U14" s="23">
        <f t="shared" si="0"/>
        <v>0</v>
      </c>
      <c r="V14" s="23">
        <f t="shared" si="0"/>
        <v>210</v>
      </c>
      <c r="W14" s="23">
        <f t="shared" si="0"/>
        <v>0</v>
      </c>
      <c r="X14" s="23">
        <f t="shared" si="0"/>
        <v>0</v>
      </c>
      <c r="Y14" s="23">
        <f t="shared" si="0"/>
        <v>0</v>
      </c>
      <c r="Z14" s="23">
        <f t="shared" si="0"/>
        <v>0</v>
      </c>
      <c r="AA14" s="23">
        <f t="shared" si="0"/>
        <v>0</v>
      </c>
      <c r="AB14" s="23">
        <f t="shared" si="0"/>
        <v>0</v>
      </c>
      <c r="AC14" s="23">
        <f t="shared" si="0"/>
        <v>0</v>
      </c>
      <c r="AD14" s="23">
        <f t="shared" si="0"/>
        <v>0</v>
      </c>
      <c r="AE14" s="24"/>
      <c r="AF14" s="23">
        <f t="shared" si="0"/>
        <v>0</v>
      </c>
      <c r="AG14" s="23">
        <f t="shared" si="0"/>
        <v>0</v>
      </c>
      <c r="AH14" s="23">
        <f t="shared" si="0"/>
        <v>0</v>
      </c>
      <c r="AI14" s="23">
        <f t="shared" si="0"/>
        <v>0</v>
      </c>
      <c r="AJ14" s="23">
        <f t="shared" si="0"/>
        <v>0</v>
      </c>
      <c r="AK14" s="23">
        <f t="shared" si="0"/>
        <v>0</v>
      </c>
      <c r="AL14" s="23">
        <f t="shared" si="0"/>
        <v>0</v>
      </c>
      <c r="AM14" s="23">
        <f t="shared" si="0"/>
        <v>0</v>
      </c>
      <c r="AN14" s="23">
        <f t="shared" si="0"/>
        <v>0</v>
      </c>
      <c r="AO14" s="23">
        <f t="shared" si="0"/>
        <v>0</v>
      </c>
      <c r="AP14" s="23">
        <f t="shared" si="0"/>
        <v>0</v>
      </c>
      <c r="AQ14" s="23">
        <f t="shared" si="0"/>
        <v>0</v>
      </c>
      <c r="AR14" s="23">
        <f t="shared" si="0"/>
        <v>0</v>
      </c>
      <c r="AS14" s="23">
        <f t="shared" si="0"/>
        <v>0</v>
      </c>
      <c r="AT14" s="23">
        <f t="shared" si="0"/>
        <v>0</v>
      </c>
      <c r="AU14" s="23">
        <f t="shared" si="0"/>
        <v>190</v>
      </c>
      <c r="AV14" s="23">
        <f t="shared" si="0"/>
        <v>0</v>
      </c>
      <c r="AW14" s="23">
        <f t="shared" si="0"/>
        <v>0</v>
      </c>
      <c r="AX14" s="23">
        <f t="shared" si="0"/>
        <v>0</v>
      </c>
      <c r="AY14" s="23">
        <f t="shared" si="0"/>
        <v>0</v>
      </c>
      <c r="AZ14" s="23">
        <f t="shared" si="0"/>
        <v>0</v>
      </c>
      <c r="BA14" s="23">
        <f t="shared" si="0"/>
        <v>0</v>
      </c>
      <c r="BB14" s="23">
        <f t="shared" si="0"/>
        <v>0</v>
      </c>
      <c r="BC14" s="23">
        <f t="shared" si="0"/>
        <v>0</v>
      </c>
    </row>
    <row r="15" ht="15" customHeight="1">
      <c r="A15" s="19" t="s">
        <v>45</v>
      </c>
      <c r="B15" s="19" t="s">
        <v>45</v>
      </c>
      <c r="C15" s="19" t="s">
        <v>45</v>
      </c>
      <c r="D15" s="19" t="s">
        <v>45</v>
      </c>
      <c r="E15" s="19" t="s">
        <v>45</v>
      </c>
      <c r="F15" s="19" t="s">
        <v>45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1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</row>
    <row r="16" ht="15" customHeight="1">
      <c r="A16" s="19" t="s">
        <v>35</v>
      </c>
      <c r="B16" s="19" t="s">
        <v>287</v>
      </c>
      <c r="C16" s="19" t="s">
        <v>288</v>
      </c>
      <c r="D16" s="19">
        <v>9050</v>
      </c>
      <c r="E16" s="19" t="s">
        <v>317</v>
      </c>
      <c r="F16" s="19" t="s">
        <v>39</v>
      </c>
      <c r="G16" s="20">
        <v>85</v>
      </c>
      <c r="H16" s="20">
        <v>88</v>
      </c>
      <c r="I16" s="20">
        <v>91</v>
      </c>
      <c r="J16" s="20">
        <v>94</v>
      </c>
      <c r="K16" s="20">
        <v>97</v>
      </c>
      <c r="L16" s="20">
        <v>100</v>
      </c>
      <c r="M16" s="20">
        <v>103</v>
      </c>
      <c r="N16" s="20">
        <v>106</v>
      </c>
      <c r="O16" s="20">
        <v>109</v>
      </c>
      <c r="P16" s="20">
        <v>112</v>
      </c>
      <c r="Q16" s="20">
        <v>115</v>
      </c>
      <c r="R16" s="20">
        <v>118</v>
      </c>
      <c r="S16" s="20">
        <v>121</v>
      </c>
      <c r="T16" s="20">
        <v>124</v>
      </c>
      <c r="U16" s="20">
        <v>127</v>
      </c>
      <c r="V16" s="20">
        <v>130</v>
      </c>
      <c r="W16" s="20">
        <v>35</v>
      </c>
      <c r="X16" s="20">
        <v>35</v>
      </c>
      <c r="Y16" s="20">
        <v>35</v>
      </c>
      <c r="Z16" s="20">
        <v>35</v>
      </c>
      <c r="AA16" s="20">
        <v>35</v>
      </c>
      <c r="AB16" s="20">
        <v>35</v>
      </c>
      <c r="AC16" s="20">
        <v>35</v>
      </c>
      <c r="AD16" s="20">
        <v>35</v>
      </c>
      <c r="AE16" s="21"/>
      <c r="AF16" s="20">
        <v>80.2</v>
      </c>
      <c r="AG16" s="20">
        <v>83</v>
      </c>
      <c r="AH16" s="20">
        <v>85.8</v>
      </c>
      <c r="AI16" s="20">
        <v>88.7</v>
      </c>
      <c r="AJ16" s="20">
        <v>91.5</v>
      </c>
      <c r="AK16" s="20">
        <v>94.3</v>
      </c>
      <c r="AL16" s="20">
        <v>97.2</v>
      </c>
      <c r="AM16" s="20">
        <v>100</v>
      </c>
      <c r="AN16" s="20">
        <v>102.8</v>
      </c>
      <c r="AO16" s="20">
        <v>105.7</v>
      </c>
      <c r="AP16" s="20">
        <v>108.5</v>
      </c>
      <c r="AQ16" s="20">
        <v>111.3</v>
      </c>
      <c r="AR16" s="20">
        <v>114.2</v>
      </c>
      <c r="AS16" s="20">
        <v>117</v>
      </c>
      <c r="AT16" s="20">
        <v>119.8</v>
      </c>
      <c r="AU16" s="20">
        <v>122.6</v>
      </c>
      <c r="AV16" s="20">
        <v>33</v>
      </c>
      <c r="AW16" s="20">
        <v>33</v>
      </c>
      <c r="AX16" s="20">
        <v>33</v>
      </c>
      <c r="AY16" s="20">
        <v>33</v>
      </c>
      <c r="AZ16" s="20">
        <v>33</v>
      </c>
      <c r="BA16" s="20">
        <v>33</v>
      </c>
      <c r="BB16" s="20">
        <v>33</v>
      </c>
      <c r="BC16" s="20">
        <v>33</v>
      </c>
    </row>
    <row r="17" ht="15" customHeight="1">
      <c r="A17" s="19" t="s">
        <v>35</v>
      </c>
      <c r="B17" s="19" t="s">
        <v>287</v>
      </c>
      <c r="C17" s="19" t="s">
        <v>288</v>
      </c>
      <c r="D17" s="19">
        <v>9080</v>
      </c>
      <c r="E17" s="19" t="s">
        <v>318</v>
      </c>
      <c r="F17" s="19" t="s">
        <v>39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0">
        <v>145</v>
      </c>
      <c r="N17" s="20">
        <v>62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1"/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</row>
    <row r="18" ht="15" customHeight="1">
      <c r="A18" s="22" t="s">
        <v>35</v>
      </c>
      <c r="B18" s="22" t="s">
        <v>287</v>
      </c>
      <c r="C18" s="22" t="s">
        <v>42</v>
      </c>
      <c r="D18" s="22" t="s">
        <v>43</v>
      </c>
      <c r="E18" s="22" t="s">
        <v>319</v>
      </c>
      <c r="F18" s="22" t="s">
        <v>39</v>
      </c>
      <c r="G18" s="23">
        <f t="shared" si="0"/>
        <v>85</v>
      </c>
      <c r="H18" s="23">
        <f t="shared" si="0"/>
        <v>88</v>
      </c>
      <c r="I18" s="23">
        <f t="shared" si="0"/>
        <v>91</v>
      </c>
      <c r="J18" s="23">
        <f t="shared" si="0"/>
        <v>94</v>
      </c>
      <c r="K18" s="23">
        <f t="shared" si="0"/>
        <v>97</v>
      </c>
      <c r="L18" s="23">
        <f t="shared" si="0"/>
        <v>100</v>
      </c>
      <c r="M18" s="23">
        <f t="shared" si="0"/>
        <v>248</v>
      </c>
      <c r="N18" s="23">
        <f t="shared" si="0"/>
        <v>168</v>
      </c>
      <c r="O18" s="23">
        <f t="shared" si="0"/>
        <v>109</v>
      </c>
      <c r="P18" s="23">
        <f t="shared" si="0"/>
        <v>112</v>
      </c>
      <c r="Q18" s="23">
        <f t="shared" si="0"/>
        <v>115</v>
      </c>
      <c r="R18" s="23">
        <f t="shared" si="0"/>
        <v>118</v>
      </c>
      <c r="S18" s="23">
        <f t="shared" si="0"/>
        <v>121</v>
      </c>
      <c r="T18" s="23">
        <f t="shared" si="0"/>
        <v>124</v>
      </c>
      <c r="U18" s="23">
        <f t="shared" si="0"/>
        <v>127</v>
      </c>
      <c r="V18" s="23">
        <f t="shared" si="0"/>
        <v>130</v>
      </c>
      <c r="W18" s="23">
        <f t="shared" si="0"/>
        <v>35</v>
      </c>
      <c r="X18" s="23">
        <f t="shared" si="0"/>
        <v>35</v>
      </c>
      <c r="Y18" s="23">
        <f t="shared" si="0"/>
        <v>35</v>
      </c>
      <c r="Z18" s="23">
        <f t="shared" si="0"/>
        <v>35</v>
      </c>
      <c r="AA18" s="23">
        <f t="shared" si="0"/>
        <v>35</v>
      </c>
      <c r="AB18" s="23">
        <f t="shared" si="0"/>
        <v>35</v>
      </c>
      <c r="AC18" s="23">
        <f t="shared" si="0"/>
        <v>35</v>
      </c>
      <c r="AD18" s="23">
        <f t="shared" si="0"/>
        <v>35</v>
      </c>
      <c r="AE18" s="24"/>
      <c r="AF18" s="23">
        <f t="shared" si="0"/>
        <v>80.2</v>
      </c>
      <c r="AG18" s="23">
        <f t="shared" si="0"/>
        <v>83</v>
      </c>
      <c r="AH18" s="23">
        <f t="shared" si="0"/>
        <v>85.8</v>
      </c>
      <c r="AI18" s="23">
        <f t="shared" si="0"/>
        <v>88.7</v>
      </c>
      <c r="AJ18" s="23">
        <f t="shared" si="0"/>
        <v>91.5</v>
      </c>
      <c r="AK18" s="23">
        <f t="shared" si="0"/>
        <v>94.3</v>
      </c>
      <c r="AL18" s="23">
        <f t="shared" si="0"/>
        <v>97.2</v>
      </c>
      <c r="AM18" s="23">
        <f t="shared" si="0"/>
        <v>100</v>
      </c>
      <c r="AN18" s="23">
        <f t="shared" si="0"/>
        <v>102.8</v>
      </c>
      <c r="AO18" s="23">
        <f t="shared" si="0"/>
        <v>105.7</v>
      </c>
      <c r="AP18" s="23">
        <f t="shared" si="0"/>
        <v>108.5</v>
      </c>
      <c r="AQ18" s="23">
        <f t="shared" si="0"/>
        <v>111.3</v>
      </c>
      <c r="AR18" s="23">
        <f t="shared" si="0"/>
        <v>114.2</v>
      </c>
      <c r="AS18" s="23">
        <f t="shared" si="0"/>
        <v>117</v>
      </c>
      <c r="AT18" s="23">
        <f t="shared" si="0"/>
        <v>119.8</v>
      </c>
      <c r="AU18" s="23">
        <f t="shared" si="0"/>
        <v>122.6</v>
      </c>
      <c r="AV18" s="23">
        <f t="shared" si="0"/>
        <v>33</v>
      </c>
      <c r="AW18" s="23">
        <f t="shared" si="0"/>
        <v>33</v>
      </c>
      <c r="AX18" s="23">
        <f t="shared" si="0"/>
        <v>33</v>
      </c>
      <c r="AY18" s="23">
        <f t="shared" si="0"/>
        <v>33</v>
      </c>
      <c r="AZ18" s="23">
        <f t="shared" si="0"/>
        <v>33</v>
      </c>
      <c r="BA18" s="23">
        <f t="shared" si="0"/>
        <v>33</v>
      </c>
      <c r="BB18" s="23">
        <f t="shared" si="0"/>
        <v>33</v>
      </c>
      <c r="BC18" s="23">
        <f t="shared" si="0"/>
        <v>33</v>
      </c>
    </row>
    <row r="19" ht="15" customHeight="1">
      <c r="A19" s="19" t="s">
        <v>45</v>
      </c>
      <c r="B19" s="19" t="s">
        <v>45</v>
      </c>
      <c r="C19" s="19" t="s">
        <v>45</v>
      </c>
      <c r="D19" s="19" t="s">
        <v>45</v>
      </c>
      <c r="E19" s="19" t="s">
        <v>45</v>
      </c>
      <c r="F19" s="19" t="s">
        <v>45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1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</row>
    <row r="20" ht="15" customHeight="1">
      <c r="A20" s="19" t="s">
        <v>213</v>
      </c>
      <c r="B20" s="19" t="s">
        <v>156</v>
      </c>
      <c r="C20" s="19" t="s">
        <v>141</v>
      </c>
      <c r="D20" s="19">
        <v>9060</v>
      </c>
      <c r="E20" s="19" t="s">
        <v>320</v>
      </c>
      <c r="F20" s="19" t="s">
        <v>39</v>
      </c>
      <c r="G20" s="20">
        <v>-25</v>
      </c>
      <c r="H20" s="20">
        <v>68.6</v>
      </c>
      <c r="I20" s="20">
        <v>6.8</v>
      </c>
      <c r="J20" s="20">
        <v>-107.8</v>
      </c>
      <c r="K20" s="20">
        <v>-85</v>
      </c>
      <c r="L20" s="20">
        <v>37.4</v>
      </c>
      <c r="M20" s="20">
        <v>56.2</v>
      </c>
      <c r="N20" s="20">
        <v>-59.8</v>
      </c>
      <c r="O20" s="20">
        <v>-118</v>
      </c>
      <c r="P20" s="20">
        <v>-21.8</v>
      </c>
      <c r="Q20" s="20">
        <v>69.1</v>
      </c>
      <c r="R20" s="20">
        <v>3.8</v>
      </c>
      <c r="S20" s="20">
        <v>-109.3</v>
      </c>
      <c r="T20" s="20">
        <v>-82.5</v>
      </c>
      <c r="U20" s="20">
        <v>39.8</v>
      </c>
      <c r="V20" s="20">
        <v>54.5</v>
      </c>
      <c r="W20" s="20">
        <v>-62.8</v>
      </c>
      <c r="X20" s="20">
        <v>-117.3</v>
      </c>
      <c r="Y20" s="20">
        <v>-18.6</v>
      </c>
      <c r="Z20" s="20">
        <v>69.5</v>
      </c>
      <c r="AA20" s="20">
        <v>0.7</v>
      </c>
      <c r="AB20" s="20">
        <v>-110.7</v>
      </c>
      <c r="AC20" s="20">
        <v>-79.9</v>
      </c>
      <c r="AD20" s="20">
        <v>42.1</v>
      </c>
      <c r="AE20" s="21"/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</row>
    <row r="21" ht="15" customHeight="1">
      <c r="A21" s="22" t="s">
        <v>213</v>
      </c>
      <c r="B21" s="22" t="s">
        <v>156</v>
      </c>
      <c r="C21" s="22" t="s">
        <v>42</v>
      </c>
      <c r="D21" s="22" t="s">
        <v>43</v>
      </c>
      <c r="E21" s="22" t="s">
        <v>321</v>
      </c>
      <c r="F21" s="22" t="s">
        <v>39</v>
      </c>
      <c r="G21" s="23">
        <f t="shared" si="1" ref="G21:BC21">SUM(G20:G20)</f>
        <v>-25</v>
      </c>
      <c r="H21" s="23">
        <f t="shared" si="1"/>
        <v>68.6</v>
      </c>
      <c r="I21" s="23">
        <f t="shared" si="1"/>
        <v>6.8</v>
      </c>
      <c r="J21" s="23">
        <f t="shared" si="1"/>
        <v>-107.8</v>
      </c>
      <c r="K21" s="23">
        <f t="shared" si="1"/>
        <v>-85</v>
      </c>
      <c r="L21" s="23">
        <f t="shared" si="1"/>
        <v>37.4</v>
      </c>
      <c r="M21" s="23">
        <f t="shared" si="1"/>
        <v>56.2</v>
      </c>
      <c r="N21" s="23">
        <f t="shared" si="1"/>
        <v>-59.8</v>
      </c>
      <c r="O21" s="23">
        <f t="shared" si="1"/>
        <v>-118</v>
      </c>
      <c r="P21" s="23">
        <f t="shared" si="1"/>
        <v>-21.8</v>
      </c>
      <c r="Q21" s="23">
        <f t="shared" si="1"/>
        <v>69.1</v>
      </c>
      <c r="R21" s="23">
        <f t="shared" si="1"/>
        <v>3.8</v>
      </c>
      <c r="S21" s="23">
        <f t="shared" si="1"/>
        <v>-109.3</v>
      </c>
      <c r="T21" s="23">
        <f t="shared" si="1"/>
        <v>-82.5</v>
      </c>
      <c r="U21" s="23">
        <f t="shared" si="1"/>
        <v>39.8</v>
      </c>
      <c r="V21" s="23">
        <f t="shared" si="1"/>
        <v>54.5</v>
      </c>
      <c r="W21" s="23">
        <f t="shared" si="1"/>
        <v>-62.8</v>
      </c>
      <c r="X21" s="23">
        <f t="shared" si="1"/>
        <v>-117.3</v>
      </c>
      <c r="Y21" s="23">
        <f t="shared" si="1"/>
        <v>-18.6</v>
      </c>
      <c r="Z21" s="23">
        <f t="shared" si="1"/>
        <v>69.5</v>
      </c>
      <c r="AA21" s="23">
        <f t="shared" si="1"/>
        <v>0.7</v>
      </c>
      <c r="AB21" s="23">
        <f t="shared" si="1"/>
        <v>-110.7</v>
      </c>
      <c r="AC21" s="23">
        <f t="shared" si="1"/>
        <v>-79.9</v>
      </c>
      <c r="AD21" s="23">
        <f t="shared" si="1"/>
        <v>42.1</v>
      </c>
      <c r="AE21" s="24"/>
      <c r="AF21" s="23">
        <f t="shared" si="1"/>
        <v>0</v>
      </c>
      <c r="AG21" s="23">
        <f t="shared" si="1"/>
        <v>0</v>
      </c>
      <c r="AH21" s="23">
        <f t="shared" si="1"/>
        <v>0</v>
      </c>
      <c r="AI21" s="23">
        <f t="shared" si="1"/>
        <v>0</v>
      </c>
      <c r="AJ21" s="23">
        <f t="shared" si="1"/>
        <v>0</v>
      </c>
      <c r="AK21" s="23">
        <f t="shared" si="1"/>
        <v>0</v>
      </c>
      <c r="AL21" s="23">
        <f t="shared" si="1"/>
        <v>0</v>
      </c>
      <c r="AM21" s="23">
        <f t="shared" si="1"/>
        <v>0</v>
      </c>
      <c r="AN21" s="23">
        <f t="shared" si="1"/>
        <v>0</v>
      </c>
      <c r="AO21" s="23">
        <f t="shared" si="1"/>
        <v>0</v>
      </c>
      <c r="AP21" s="23">
        <f t="shared" si="1"/>
        <v>0</v>
      </c>
      <c r="AQ21" s="23">
        <f t="shared" si="1"/>
        <v>0</v>
      </c>
      <c r="AR21" s="23">
        <f t="shared" si="1"/>
        <v>0</v>
      </c>
      <c r="AS21" s="23">
        <f t="shared" si="1"/>
        <v>0</v>
      </c>
      <c r="AT21" s="23">
        <f t="shared" si="1"/>
        <v>0</v>
      </c>
      <c r="AU21" s="23">
        <f t="shared" si="1"/>
        <v>0</v>
      </c>
      <c r="AV21" s="23">
        <f t="shared" si="1"/>
        <v>0</v>
      </c>
      <c r="AW21" s="23">
        <f t="shared" si="1"/>
        <v>0</v>
      </c>
      <c r="AX21" s="23">
        <f t="shared" si="1"/>
        <v>0</v>
      </c>
      <c r="AY21" s="23">
        <f t="shared" si="1"/>
        <v>0</v>
      </c>
      <c r="AZ21" s="23">
        <f t="shared" si="1"/>
        <v>0</v>
      </c>
      <c r="BA21" s="23">
        <f t="shared" si="1"/>
        <v>0</v>
      </c>
      <c r="BB21" s="23">
        <f t="shared" si="1"/>
        <v>0</v>
      </c>
      <c r="BC21" s="23">
        <f t="shared" si="1"/>
        <v>0</v>
      </c>
    </row>
    <row r="22" ht="15" customHeight="1">
      <c r="A22" s="19" t="s">
        <v>45</v>
      </c>
      <c r="B22" s="19" t="s">
        <v>45</v>
      </c>
      <c r="C22" s="19" t="s">
        <v>45</v>
      </c>
      <c r="D22" s="19" t="s">
        <v>45</v>
      </c>
      <c r="E22" s="19" t="s">
        <v>45</v>
      </c>
      <c r="F22" s="19" t="s">
        <v>45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1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</row>
    <row r="23" ht="15" customHeight="1">
      <c r="A23" s="28" t="s">
        <v>240</v>
      </c>
      <c r="B23" s="28" t="s">
        <v>322</v>
      </c>
      <c r="C23" s="28" t="s">
        <v>148</v>
      </c>
      <c r="D23" s="28" t="s">
        <v>149</v>
      </c>
      <c r="E23" s="28" t="s">
        <v>323</v>
      </c>
      <c r="F23" s="28" t="s">
        <v>39</v>
      </c>
      <c r="G23" s="29">
        <f t="shared" si="2" ref="G23:BC23">G6+G10+G14+G18+G21</f>
        <v>220</v>
      </c>
      <c r="H23" s="29">
        <f t="shared" si="2"/>
        <v>386.6</v>
      </c>
      <c r="I23" s="29">
        <f t="shared" si="2"/>
        <v>657.8</v>
      </c>
      <c r="J23" s="29">
        <f t="shared" si="2"/>
        <v>596.2</v>
      </c>
      <c r="K23" s="29">
        <f t="shared" si="2"/>
        <v>317</v>
      </c>
      <c r="L23" s="29">
        <f t="shared" si="2"/>
        <v>322.4</v>
      </c>
      <c r="M23" s="29">
        <f t="shared" si="2"/>
        <v>494.2</v>
      </c>
      <c r="N23" s="29">
        <f t="shared" si="2"/>
        <v>388.2</v>
      </c>
      <c r="O23" s="29">
        <f t="shared" si="2"/>
        <v>381</v>
      </c>
      <c r="P23" s="29">
        <f t="shared" si="2"/>
        <v>1075.2</v>
      </c>
      <c r="Q23" s="29">
        <f t="shared" si="2"/>
        <v>514.1</v>
      </c>
      <c r="R23" s="29">
        <f t="shared" si="2"/>
        <v>336.8</v>
      </c>
      <c r="S23" s="29">
        <f t="shared" si="2"/>
        <v>231.7</v>
      </c>
      <c r="T23" s="29">
        <f t="shared" si="2"/>
        <v>266.5</v>
      </c>
      <c r="U23" s="29">
        <f t="shared" si="2"/>
        <v>396.8</v>
      </c>
      <c r="V23" s="29">
        <f t="shared" si="2"/>
        <v>1049.5</v>
      </c>
      <c r="W23" s="29">
        <f t="shared" si="2"/>
        <v>452.2</v>
      </c>
      <c r="X23" s="29">
        <f t="shared" si="2"/>
        <v>422.7</v>
      </c>
      <c r="Y23" s="29">
        <f t="shared" si="2"/>
        <v>676.4</v>
      </c>
      <c r="Z23" s="29">
        <f t="shared" si="2"/>
        <v>499.5</v>
      </c>
      <c r="AA23" s="29">
        <f t="shared" si="2"/>
        <v>295.7</v>
      </c>
      <c r="AB23" s="29">
        <f t="shared" si="2"/>
        <v>189.3</v>
      </c>
      <c r="AC23" s="29">
        <f t="shared" si="2"/>
        <v>225.1</v>
      </c>
      <c r="AD23" s="29">
        <f t="shared" si="2"/>
        <v>352.1</v>
      </c>
      <c r="AE23" s="30"/>
      <c r="AF23" s="29">
        <f t="shared" si="2"/>
        <v>230.5</v>
      </c>
      <c r="AG23" s="29">
        <f t="shared" si="2"/>
        <v>238</v>
      </c>
      <c r="AH23" s="29">
        <f t="shared" si="2"/>
        <v>395.4</v>
      </c>
      <c r="AI23" s="29">
        <f t="shared" si="2"/>
        <v>333</v>
      </c>
      <c r="AJ23" s="29">
        <f t="shared" si="2"/>
        <v>260.5</v>
      </c>
      <c r="AK23" s="29">
        <f t="shared" si="2"/>
        <v>267.9</v>
      </c>
      <c r="AL23" s="29">
        <f t="shared" si="2"/>
        <v>275.5</v>
      </c>
      <c r="AM23" s="29">
        <f t="shared" si="2"/>
        <v>283</v>
      </c>
      <c r="AN23" s="29">
        <f t="shared" si="2"/>
        <v>290.5</v>
      </c>
      <c r="AO23" s="29">
        <f t="shared" si="2"/>
        <v>298</v>
      </c>
      <c r="AP23" s="29">
        <f t="shared" si="2"/>
        <v>305.5</v>
      </c>
      <c r="AQ23" s="29">
        <f t="shared" si="2"/>
        <v>313</v>
      </c>
      <c r="AR23" s="29">
        <f t="shared" si="2"/>
        <v>320.6</v>
      </c>
      <c r="AS23" s="29">
        <f t="shared" si="2"/>
        <v>328</v>
      </c>
      <c r="AT23" s="29">
        <f t="shared" si="2"/>
        <v>335.5</v>
      </c>
      <c r="AU23" s="29">
        <f t="shared" si="2"/>
        <v>883</v>
      </c>
      <c r="AV23" s="29">
        <f t="shared" si="2"/>
        <v>398</v>
      </c>
      <c r="AW23" s="29">
        <f t="shared" si="2"/>
        <v>262.7</v>
      </c>
      <c r="AX23" s="29">
        <f t="shared" si="2"/>
        <v>267.4</v>
      </c>
      <c r="AY23" s="29">
        <f t="shared" si="2"/>
        <v>272.1</v>
      </c>
      <c r="AZ23" s="29">
        <f t="shared" si="2"/>
        <v>276.7</v>
      </c>
      <c r="BA23" s="29">
        <f t="shared" si="2"/>
        <v>281.4</v>
      </c>
      <c r="BB23" s="29">
        <f t="shared" si="2"/>
        <v>286.1</v>
      </c>
      <c r="BC23" s="29">
        <f t="shared" si="2"/>
        <v>290.8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AC9668-3648-45F3-0F4D-01FB58149AEE}" mc:Ignorable="x14ac xr xr2 xr3">
  <dimension ref="A1:CV10000"/>
  <sheetViews>
    <sheetView showGridLines="0" workbookViewId="0">
      <pane xSplit="6" ySplit="3" topLeftCell="G4" activePane="bottomRight" state="frozen"/>
      <selection pane="bottomLeft" activeCell="A4" sqref="A4"/>
      <selection pane="topRight" activeCell="G1" sqref="G1"/>
      <selection pane="bottomRight" activeCell="A1" sqref="A1"/>
    </sheetView>
  </sheetViews>
  <sheetFormatPr defaultRowHeight="15" defaultColWidth="7.75390625" customHeight="1"/>
  <cols>
    <col min="1" max="1" width="16.25390625" customWidth="1"/>
    <col min="2" max="2" width="20.625" customWidth="1"/>
    <col min="3" max="3" width="10.625" customWidth="1"/>
    <col min="4" max="4" width="9.375" customWidth="1"/>
    <col min="5" max="5" width="29.375" customWidth="1"/>
    <col min="6" max="6" width="9.375" customWidth="1"/>
    <col min="7" max="30" width="9.00390625" customWidth="1"/>
    <col min="31" max="31" width="2.25390625" customWidth="1"/>
    <col min="32" max="55" width="9.00390625" customWidth="1"/>
  </cols>
  <sheetData>
    <row r="1" ht="15" customHeight="1">
      <c r="A1" s="15" t="s">
        <v>0</v>
      </c>
      <c r="B1" s="15" t="s">
        <v>324</v>
      </c>
      <c r="C1" s="15"/>
      <c r="D1" s="15"/>
      <c r="E1" s="15" t="s">
        <v>325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ht="15" customHeight="1">
      <c r="A2" s="17"/>
      <c r="B2" s="17"/>
      <c r="C2" s="17"/>
      <c r="D2" s="17"/>
      <c r="E2" s="17"/>
      <c r="F2" s="17"/>
      <c r="G2" s="17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/>
      <c r="AF2" s="17" t="s">
        <v>4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ht="22.5" customHeight="1">
      <c r="A3" s="17" t="s">
        <v>5</v>
      </c>
      <c r="B3" s="17" t="s">
        <v>6</v>
      </c>
      <c r="C3" s="17" t="s">
        <v>7</v>
      </c>
      <c r="D3" s="17" t="s">
        <v>8</v>
      </c>
      <c r="E3" s="17" t="s">
        <v>9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7" t="s">
        <v>26</v>
      </c>
      <c r="W3" s="17" t="s">
        <v>27</v>
      </c>
      <c r="X3" s="17" t="s">
        <v>28</v>
      </c>
      <c r="Y3" s="17" t="s">
        <v>29</v>
      </c>
      <c r="Z3" s="17" t="s">
        <v>30</v>
      </c>
      <c r="AA3" s="17" t="s">
        <v>31</v>
      </c>
      <c r="AB3" s="17" t="s">
        <v>32</v>
      </c>
      <c r="AC3" s="17" t="s">
        <v>33</v>
      </c>
      <c r="AD3" s="17" t="s">
        <v>34</v>
      </c>
      <c r="AE3" s="18"/>
      <c r="AF3" s="17" t="s">
        <v>11</v>
      </c>
      <c r="AG3" s="17" t="s">
        <v>12</v>
      </c>
      <c r="AH3" s="17" t="s">
        <v>13</v>
      </c>
      <c r="AI3" s="17" t="s">
        <v>14</v>
      </c>
      <c r="AJ3" s="17" t="s">
        <v>15</v>
      </c>
      <c r="AK3" s="17" t="s">
        <v>16</v>
      </c>
      <c r="AL3" s="17" t="s">
        <v>17</v>
      </c>
      <c r="AM3" s="17" t="s">
        <v>18</v>
      </c>
      <c r="AN3" s="17" t="s">
        <v>19</v>
      </c>
      <c r="AO3" s="17" t="s">
        <v>20</v>
      </c>
      <c r="AP3" s="17" t="s">
        <v>21</v>
      </c>
      <c r="AQ3" s="17" t="s">
        <v>22</v>
      </c>
      <c r="AR3" s="17" t="s">
        <v>23</v>
      </c>
      <c r="AS3" s="17" t="s">
        <v>24</v>
      </c>
      <c r="AT3" s="17" t="s">
        <v>25</v>
      </c>
      <c r="AU3" s="17" t="s">
        <v>26</v>
      </c>
      <c r="AV3" s="17" t="s">
        <v>27</v>
      </c>
      <c r="AW3" s="17" t="s">
        <v>28</v>
      </c>
      <c r="AX3" s="17" t="s">
        <v>29</v>
      </c>
      <c r="AY3" s="17" t="s">
        <v>30</v>
      </c>
      <c r="AZ3" s="17" t="s">
        <v>31</v>
      </c>
      <c r="BA3" s="17" t="s">
        <v>32</v>
      </c>
      <c r="BB3" s="17" t="s">
        <v>33</v>
      </c>
      <c r="BC3" s="17" t="s">
        <v>34</v>
      </c>
    </row>
    <row r="4" ht="15" customHeight="1">
      <c r="A4" s="19" t="s">
        <v>184</v>
      </c>
      <c r="B4" s="19" t="s">
        <v>46</v>
      </c>
      <c r="C4" s="19" t="s">
        <v>326</v>
      </c>
      <c r="D4" s="19">
        <v>4010</v>
      </c>
      <c r="E4" s="19" t="s">
        <v>48</v>
      </c>
      <c r="F4" s="19" t="s">
        <v>327</v>
      </c>
      <c r="G4" s="20">
        <v>1430.8</v>
      </c>
      <c r="H4" s="20">
        <v>1480.1</v>
      </c>
      <c r="I4" s="20">
        <v>1546.2</v>
      </c>
      <c r="J4" s="20">
        <v>1567.7</v>
      </c>
      <c r="K4" s="20">
        <v>1637.4</v>
      </c>
      <c r="L4" s="20">
        <v>1693.1</v>
      </c>
      <c r="M4" s="20">
        <v>1666.4</v>
      </c>
      <c r="N4" s="20">
        <v>1672</v>
      </c>
      <c r="O4" s="20">
        <v>1782.7</v>
      </c>
      <c r="P4" s="20">
        <v>1843.5</v>
      </c>
      <c r="Q4" s="20">
        <v>1943.3</v>
      </c>
      <c r="R4" s="20">
        <v>2084.7</v>
      </c>
      <c r="S4" s="20">
        <v>1901.9</v>
      </c>
      <c r="T4" s="20">
        <v>1967.4</v>
      </c>
      <c r="U4" s="20">
        <v>2055.3</v>
      </c>
      <c r="V4" s="20">
        <v>2083.8</v>
      </c>
      <c r="W4" s="20">
        <v>2176.5</v>
      </c>
      <c r="X4" s="20">
        <v>2250.6</v>
      </c>
      <c r="Y4" s="20">
        <v>2215.1</v>
      </c>
      <c r="Z4" s="20">
        <v>2222.4</v>
      </c>
      <c r="AA4" s="20">
        <v>2369.6</v>
      </c>
      <c r="AB4" s="20">
        <v>2450.5</v>
      </c>
      <c r="AC4" s="20">
        <v>2583.1</v>
      </c>
      <c r="AD4" s="20">
        <v>2771.1</v>
      </c>
      <c r="AE4" s="21"/>
      <c r="AF4" s="20">
        <v>1362.6666666666665</v>
      </c>
      <c r="AG4" s="20">
        <v>1396.320754716981</v>
      </c>
      <c r="AH4" s="20">
        <v>1662.5806451612905</v>
      </c>
      <c r="AI4" s="20">
        <v>1704.0217391304348</v>
      </c>
      <c r="AJ4" s="20">
        <v>1502.2018348623853</v>
      </c>
      <c r="AK4" s="20">
        <v>1539.181818181818</v>
      </c>
      <c r="AL4" s="20">
        <v>1754.105263157895</v>
      </c>
      <c r="AM4" s="20">
        <v>1778.7234042553193</v>
      </c>
      <c r="AN4" s="20">
        <v>1666.0747663551401</v>
      </c>
      <c r="AO4" s="20">
        <v>1706.9444444444443</v>
      </c>
      <c r="AP4" s="20">
        <v>2135.4945054945056</v>
      </c>
      <c r="AQ4" s="20">
        <v>2316.333333333333</v>
      </c>
      <c r="AR4" s="20">
        <v>1811.3333333333333</v>
      </c>
      <c r="AS4" s="20">
        <v>1856.0377358490566</v>
      </c>
      <c r="AT4" s="20">
        <v>2210.0000000000005</v>
      </c>
      <c r="AU4" s="20">
        <v>2265</v>
      </c>
      <c r="AV4" s="20">
        <v>1996.788990825688</v>
      </c>
      <c r="AW4" s="20">
        <v>2045.9999999999998</v>
      </c>
      <c r="AX4" s="20">
        <v>2331.684210526316</v>
      </c>
      <c r="AY4" s="20">
        <v>2364.2553191489365</v>
      </c>
      <c r="AZ4" s="20">
        <v>2214.579439252336</v>
      </c>
      <c r="BA4" s="20">
        <v>2268.9814814814813</v>
      </c>
      <c r="BB4" s="20">
        <v>2838.5714285714284</v>
      </c>
      <c r="BC4" s="20">
        <v>3079</v>
      </c>
    </row>
    <row r="5" ht="15" customHeight="1">
      <c r="A5" s="19" t="s">
        <v>184</v>
      </c>
      <c r="B5" s="19" t="s">
        <v>46</v>
      </c>
      <c r="C5" s="19" t="s">
        <v>326</v>
      </c>
      <c r="D5" s="19">
        <v>4010</v>
      </c>
      <c r="E5" s="19" t="s">
        <v>328</v>
      </c>
      <c r="F5" s="19" t="s">
        <v>327</v>
      </c>
      <c r="G5" s="20">
        <v>401.8</v>
      </c>
      <c r="H5" s="20">
        <v>415.6</v>
      </c>
      <c r="I5" s="20">
        <v>434.2</v>
      </c>
      <c r="J5" s="20">
        <v>440.2</v>
      </c>
      <c r="K5" s="20">
        <v>459.8</v>
      </c>
      <c r="L5" s="20">
        <v>475.5</v>
      </c>
      <c r="M5" s="20">
        <v>468</v>
      </c>
      <c r="N5" s="20">
        <v>469.5</v>
      </c>
      <c r="O5" s="20">
        <v>500.6</v>
      </c>
      <c r="P5" s="20">
        <v>517.7</v>
      </c>
      <c r="Q5" s="20">
        <v>545.7</v>
      </c>
      <c r="R5" s="20">
        <v>585.4</v>
      </c>
      <c r="S5" s="20">
        <v>534.1</v>
      </c>
      <c r="T5" s="20">
        <v>552.5</v>
      </c>
      <c r="U5" s="20">
        <v>577.2</v>
      </c>
      <c r="V5" s="20">
        <v>585.2</v>
      </c>
      <c r="W5" s="20">
        <v>611.2</v>
      </c>
      <c r="X5" s="20">
        <v>632</v>
      </c>
      <c r="Y5" s="20">
        <v>622</v>
      </c>
      <c r="Z5" s="20">
        <v>624.1</v>
      </c>
      <c r="AA5" s="20">
        <v>665.4</v>
      </c>
      <c r="AB5" s="20">
        <v>688.2</v>
      </c>
      <c r="AC5" s="20">
        <v>725.4</v>
      </c>
      <c r="AD5" s="20">
        <v>778.2</v>
      </c>
      <c r="AE5" s="21"/>
      <c r="AF5" s="20">
        <v>379.0566037735849</v>
      </c>
      <c r="AG5" s="20">
        <v>388.41121495327104</v>
      </c>
      <c r="AH5" s="20">
        <v>471.9565217391304</v>
      </c>
      <c r="AI5" s="20">
        <v>483.7362637362637</v>
      </c>
      <c r="AJ5" s="20">
        <v>418</v>
      </c>
      <c r="AK5" s="20">
        <v>452.85714285714283</v>
      </c>
      <c r="AL5" s="20">
        <v>497.87234042553195</v>
      </c>
      <c r="AM5" s="20">
        <v>504.8387096774194</v>
      </c>
      <c r="AN5" s="20">
        <v>463.51851851851853</v>
      </c>
      <c r="AO5" s="20">
        <v>474.95412844036696</v>
      </c>
      <c r="AP5" s="20">
        <v>606.3333333333334</v>
      </c>
      <c r="AQ5" s="20">
        <v>616.2105263157895</v>
      </c>
      <c r="AR5" s="20">
        <v>503.8679245283019</v>
      </c>
      <c r="AS5" s="20">
        <v>516.3551401869158</v>
      </c>
      <c r="AT5" s="20">
        <v>627.3913043478261</v>
      </c>
      <c r="AU5" s="20">
        <v>643.0769230769231</v>
      </c>
      <c r="AV5" s="20">
        <v>555.6363636363636</v>
      </c>
      <c r="AW5" s="20">
        <v>601.9047619047619</v>
      </c>
      <c r="AX5" s="20">
        <v>661.7021276595746</v>
      </c>
      <c r="AY5" s="20">
        <v>671.0752688172043</v>
      </c>
      <c r="AZ5" s="20">
        <v>616.1111111111111</v>
      </c>
      <c r="BA5" s="20">
        <v>631.3761467889908</v>
      </c>
      <c r="BB5" s="20">
        <v>806</v>
      </c>
      <c r="BC5" s="20">
        <v>819.1578947368422</v>
      </c>
    </row>
    <row r="6" ht="15" customHeight="1">
      <c r="A6" s="19" t="s">
        <v>184</v>
      </c>
      <c r="B6" s="19" t="s">
        <v>46</v>
      </c>
      <c r="C6" s="19" t="s">
        <v>326</v>
      </c>
      <c r="D6" s="19">
        <v>4100</v>
      </c>
      <c r="E6" s="19" t="s">
        <v>329</v>
      </c>
      <c r="F6" s="19" t="s">
        <v>327</v>
      </c>
      <c r="G6" s="20">
        <v>132.3</v>
      </c>
      <c r="H6" s="20">
        <v>135.8</v>
      </c>
      <c r="I6" s="20">
        <v>140.7</v>
      </c>
      <c r="J6" s="20">
        <v>141.6</v>
      </c>
      <c r="K6" s="20">
        <v>146.7</v>
      </c>
      <c r="L6" s="20">
        <v>150.5</v>
      </c>
      <c r="M6" s="20">
        <v>147</v>
      </c>
      <c r="N6" s="20">
        <v>146.3</v>
      </c>
      <c r="O6" s="20">
        <v>154.8</v>
      </c>
      <c r="P6" s="20">
        <v>158.8</v>
      </c>
      <c r="Q6" s="20">
        <v>166.1</v>
      </c>
      <c r="R6" s="20">
        <v>176.8</v>
      </c>
      <c r="S6" s="20">
        <v>160.1</v>
      </c>
      <c r="T6" s="20">
        <v>164.3</v>
      </c>
      <c r="U6" s="20">
        <v>170.3</v>
      </c>
      <c r="V6" s="20">
        <v>171.3</v>
      </c>
      <c r="W6" s="20">
        <v>177.5</v>
      </c>
      <c r="X6" s="20">
        <v>182.1</v>
      </c>
      <c r="Y6" s="20">
        <v>177.9</v>
      </c>
      <c r="Z6" s="20">
        <v>177</v>
      </c>
      <c r="AA6" s="20">
        <v>187.3</v>
      </c>
      <c r="AB6" s="20">
        <v>192.2</v>
      </c>
      <c r="AC6" s="20">
        <v>201</v>
      </c>
      <c r="AD6" s="20">
        <v>213.9</v>
      </c>
      <c r="AE6" s="21"/>
      <c r="AF6" s="20">
        <v>123.64485981308411</v>
      </c>
      <c r="AG6" s="20">
        <v>125.74074074074075</v>
      </c>
      <c r="AH6" s="20">
        <v>154.61538461538458</v>
      </c>
      <c r="AI6" s="20">
        <v>157.33333333333331</v>
      </c>
      <c r="AJ6" s="20">
        <v>139.7142857142857</v>
      </c>
      <c r="AK6" s="20">
        <v>141.9811320754717</v>
      </c>
      <c r="AL6" s="20">
        <v>158.06451612903226</v>
      </c>
      <c r="AM6" s="20">
        <v>159.02173913043478</v>
      </c>
      <c r="AN6" s="20">
        <v>142.0183486238532</v>
      </c>
      <c r="AO6" s="20">
        <v>144.36363636363637</v>
      </c>
      <c r="AP6" s="20">
        <v>174.8421052631579</v>
      </c>
      <c r="AQ6" s="20">
        <v>188.08510638297875</v>
      </c>
      <c r="AR6" s="20">
        <v>149.62616822429905</v>
      </c>
      <c r="AS6" s="20">
        <v>152.12962962962962</v>
      </c>
      <c r="AT6" s="20">
        <v>187.14285714285714</v>
      </c>
      <c r="AU6" s="20">
        <v>190.33333333333334</v>
      </c>
      <c r="AV6" s="20">
        <v>169.04761904761904</v>
      </c>
      <c r="AW6" s="20">
        <v>171.79245283018867</v>
      </c>
      <c r="AX6" s="20">
        <v>191.29032258064518</v>
      </c>
      <c r="AY6" s="20">
        <v>192.39130434782606</v>
      </c>
      <c r="AZ6" s="20">
        <v>171.8348623853211</v>
      </c>
      <c r="BA6" s="20">
        <v>174.7272727272727</v>
      </c>
      <c r="BB6" s="20">
        <v>211.57894736842107</v>
      </c>
      <c r="BC6" s="20">
        <v>227.55319148936172</v>
      </c>
    </row>
    <row r="7" ht="15" customHeight="1">
      <c r="A7" s="19" t="s">
        <v>184</v>
      </c>
      <c r="B7" s="19" t="s">
        <v>46</v>
      </c>
      <c r="C7" s="19" t="s">
        <v>326</v>
      </c>
      <c r="D7" s="19">
        <v>4110</v>
      </c>
      <c r="E7" s="19" t="s">
        <v>330</v>
      </c>
      <c r="F7" s="19" t="s">
        <v>327</v>
      </c>
      <c r="G7" s="20">
        <v>86.2</v>
      </c>
      <c r="H7" s="20">
        <v>88.5</v>
      </c>
      <c r="I7" s="20">
        <v>91.7</v>
      </c>
      <c r="J7" s="20">
        <v>92.3</v>
      </c>
      <c r="K7" s="20">
        <v>95.6</v>
      </c>
      <c r="L7" s="20">
        <v>98.1</v>
      </c>
      <c r="M7" s="20">
        <v>95.8</v>
      </c>
      <c r="N7" s="20">
        <v>95.4</v>
      </c>
      <c r="O7" s="20">
        <v>100.9</v>
      </c>
      <c r="P7" s="20">
        <v>103.5</v>
      </c>
      <c r="Q7" s="20">
        <v>108.3</v>
      </c>
      <c r="R7" s="20">
        <v>115.3</v>
      </c>
      <c r="S7" s="20">
        <v>104.3</v>
      </c>
      <c r="T7" s="20">
        <v>107.1</v>
      </c>
      <c r="U7" s="20">
        <v>111</v>
      </c>
      <c r="V7" s="20">
        <v>111.7</v>
      </c>
      <c r="W7" s="20">
        <v>115.7</v>
      </c>
      <c r="X7" s="20">
        <v>118.7</v>
      </c>
      <c r="Y7" s="20">
        <v>115.9</v>
      </c>
      <c r="Z7" s="20">
        <v>115.4</v>
      </c>
      <c r="AA7" s="20">
        <v>122.1</v>
      </c>
      <c r="AB7" s="20">
        <v>125.3</v>
      </c>
      <c r="AC7" s="20">
        <v>131</v>
      </c>
      <c r="AD7" s="20">
        <v>139.5</v>
      </c>
      <c r="AE7" s="21"/>
      <c r="AF7" s="20">
        <v>79.81481481481481</v>
      </c>
      <c r="AG7" s="20">
        <v>81.19266055045871</v>
      </c>
      <c r="AH7" s="20">
        <v>101.88888888888889</v>
      </c>
      <c r="AI7" s="20">
        <v>97.15789473684211</v>
      </c>
      <c r="AJ7" s="20">
        <v>90.18867924528301</v>
      </c>
      <c r="AK7" s="20">
        <v>91.68224299065419</v>
      </c>
      <c r="AL7" s="20">
        <v>104.13043478260869</v>
      </c>
      <c r="AM7" s="20">
        <v>104.83516483516483</v>
      </c>
      <c r="AN7" s="20">
        <v>91.72727272727272</v>
      </c>
      <c r="AO7" s="20">
        <v>98.57142857142857</v>
      </c>
      <c r="AP7" s="20">
        <v>115.2127659574468</v>
      </c>
      <c r="AQ7" s="20">
        <v>123.97849462365592</v>
      </c>
      <c r="AR7" s="20">
        <v>96.57407407407406</v>
      </c>
      <c r="AS7" s="20">
        <v>98.25688073394494</v>
      </c>
      <c r="AT7" s="20">
        <v>123.33333333333333</v>
      </c>
      <c r="AU7" s="20">
        <v>117.57894736842105</v>
      </c>
      <c r="AV7" s="20">
        <v>109.15094339622641</v>
      </c>
      <c r="AW7" s="20">
        <v>110.93457943925233</v>
      </c>
      <c r="AX7" s="20">
        <v>125.97826086956522</v>
      </c>
      <c r="AY7" s="20">
        <v>126.81318681318682</v>
      </c>
      <c r="AZ7" s="20">
        <v>110.99999999999999</v>
      </c>
      <c r="BA7" s="20">
        <v>119.33333333333333</v>
      </c>
      <c r="BB7" s="20">
        <v>139.36170212765958</v>
      </c>
      <c r="BC7" s="20">
        <v>150</v>
      </c>
    </row>
    <row r="8" ht="15" customHeight="1">
      <c r="A8" s="22" t="s">
        <v>184</v>
      </c>
      <c r="B8" s="22" t="s">
        <v>46</v>
      </c>
      <c r="C8" s="22" t="s">
        <v>42</v>
      </c>
      <c r="D8" s="22" t="s">
        <v>43</v>
      </c>
      <c r="E8" s="22" t="s">
        <v>331</v>
      </c>
      <c r="F8" s="22" t="s">
        <v>327</v>
      </c>
      <c r="G8" s="23">
        <f t="shared" si="0" ref="G8:BC8">SUM(G4:G7)</f>
        <v>2051.1</v>
      </c>
      <c r="H8" s="23">
        <f t="shared" si="0"/>
        <v>2120</v>
      </c>
      <c r="I8" s="23">
        <f t="shared" si="0"/>
        <v>2212.8</v>
      </c>
      <c r="J8" s="23">
        <f t="shared" si="0"/>
        <v>2241.8</v>
      </c>
      <c r="K8" s="23">
        <f t="shared" si="0"/>
        <v>2339.5</v>
      </c>
      <c r="L8" s="23">
        <f t="shared" si="0"/>
        <v>2417.2</v>
      </c>
      <c r="M8" s="23">
        <f t="shared" si="0"/>
        <v>2377.2</v>
      </c>
      <c r="N8" s="23">
        <f t="shared" si="0"/>
        <v>2383.2</v>
      </c>
      <c r="O8" s="23">
        <f t="shared" si="0"/>
        <v>2539</v>
      </c>
      <c r="P8" s="23">
        <f t="shared" si="0"/>
        <v>2623.5</v>
      </c>
      <c r="Q8" s="23">
        <f t="shared" si="0"/>
        <v>2763.4</v>
      </c>
      <c r="R8" s="23">
        <f t="shared" si="0"/>
        <v>2962.2</v>
      </c>
      <c r="S8" s="23">
        <f t="shared" si="0"/>
        <v>2700.4</v>
      </c>
      <c r="T8" s="23">
        <f t="shared" si="0"/>
        <v>2791.3</v>
      </c>
      <c r="U8" s="23">
        <f t="shared" si="0"/>
        <v>2913.8</v>
      </c>
      <c r="V8" s="23">
        <f t="shared" si="0"/>
        <v>2952</v>
      </c>
      <c r="W8" s="23">
        <f t="shared" si="0"/>
        <v>3080.9</v>
      </c>
      <c r="X8" s="23">
        <f t="shared" si="0"/>
        <v>3183.4</v>
      </c>
      <c r="Y8" s="23">
        <f t="shared" si="0"/>
        <v>3130.9</v>
      </c>
      <c r="Z8" s="23">
        <f t="shared" si="0"/>
        <v>3138.9</v>
      </c>
      <c r="AA8" s="23">
        <f t="shared" si="0"/>
        <v>3344.4</v>
      </c>
      <c r="AB8" s="23">
        <f t="shared" si="0"/>
        <v>3456.2</v>
      </c>
      <c r="AC8" s="23">
        <f t="shared" si="0"/>
        <v>3640.5</v>
      </c>
      <c r="AD8" s="23">
        <f t="shared" si="0"/>
        <v>3902.7</v>
      </c>
      <c r="AE8" s="24"/>
      <c r="AF8" s="23">
        <f t="shared" si="0"/>
        <v>1945.18294506815</v>
      </c>
      <c r="AG8" s="23">
        <f t="shared" si="0"/>
        <v>1991.66537096145</v>
      </c>
      <c r="AH8" s="23">
        <f t="shared" si="0"/>
        <v>2391.04144040469</v>
      </c>
      <c r="AI8" s="23">
        <f t="shared" si="0"/>
        <v>2442.24923093687</v>
      </c>
      <c r="AJ8" s="23">
        <f t="shared" si="0"/>
        <v>2150.10479982195</v>
      </c>
      <c r="AK8" s="23">
        <f t="shared" si="0"/>
        <v>2225.70233610509</v>
      </c>
      <c r="AL8" s="23">
        <f t="shared" si="0"/>
        <v>2514.17255449507</v>
      </c>
      <c r="AM8" s="23">
        <f t="shared" si="0"/>
        <v>2547.41901789834</v>
      </c>
      <c r="AN8" s="23">
        <f t="shared" si="0"/>
        <v>2363.33890622478</v>
      </c>
      <c r="AO8" s="23">
        <f t="shared" si="0"/>
        <v>2424.83363781988</v>
      </c>
      <c r="AP8" s="23">
        <f t="shared" si="0"/>
        <v>3031.88271004844</v>
      </c>
      <c r="AQ8" s="23">
        <f t="shared" si="0"/>
        <v>3244.60746065576</v>
      </c>
      <c r="AR8" s="23">
        <f t="shared" si="0"/>
        <v>2561.40150016001</v>
      </c>
      <c r="AS8" s="23">
        <f t="shared" si="0"/>
        <v>2622.77938639955</v>
      </c>
      <c r="AT8" s="23">
        <f t="shared" si="0"/>
        <v>3147.86749482402</v>
      </c>
      <c r="AU8" s="23">
        <f t="shared" si="0"/>
        <v>3215.98920377868</v>
      </c>
      <c r="AV8" s="23">
        <f t="shared" si="0"/>
        <v>2830.6239169059</v>
      </c>
      <c r="AW8" s="23">
        <f t="shared" si="0"/>
        <v>2930.6317941742</v>
      </c>
      <c r="AX8" s="23">
        <f t="shared" si="0"/>
        <v>3310.6549216361</v>
      </c>
      <c r="AY8" s="23">
        <f t="shared" si="0"/>
        <v>3354.53507912715</v>
      </c>
      <c r="AZ8" s="23">
        <f t="shared" si="0"/>
        <v>3113.52541274877</v>
      </c>
      <c r="BA8" s="23">
        <f t="shared" si="0"/>
        <v>3194.41823433108</v>
      </c>
      <c r="BB8" s="23">
        <f t="shared" si="0"/>
        <v>3995.51207806751</v>
      </c>
      <c r="BC8" s="23">
        <f t="shared" si="0"/>
        <v>4275.7110862262</v>
      </c>
    </row>
    <row r="9" ht="15" customHeight="1">
      <c r="A9" s="19" t="s">
        <v>45</v>
      </c>
      <c r="B9" s="19" t="s">
        <v>45</v>
      </c>
      <c r="C9" s="19" t="s">
        <v>45</v>
      </c>
      <c r="D9" s="19" t="s">
        <v>45</v>
      </c>
      <c r="E9" s="19" t="s">
        <v>45</v>
      </c>
      <c r="F9" s="19" t="s">
        <v>45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1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</row>
    <row r="10" ht="15" customHeight="1">
      <c r="A10" s="19" t="s">
        <v>184</v>
      </c>
      <c r="B10" s="19" t="s">
        <v>332</v>
      </c>
      <c r="C10" s="19" t="s">
        <v>333</v>
      </c>
      <c r="D10" s="19">
        <v>5000</v>
      </c>
      <c r="E10" s="19" t="s">
        <v>334</v>
      </c>
      <c r="F10" s="19" t="s">
        <v>327</v>
      </c>
      <c r="G10" s="20">
        <v>-285</v>
      </c>
      <c r="H10" s="20">
        <v>-291.3</v>
      </c>
      <c r="I10" s="20">
        <v>-297.7</v>
      </c>
      <c r="J10" s="20">
        <v>-304.2</v>
      </c>
      <c r="K10" s="20">
        <v>-310.9</v>
      </c>
      <c r="L10" s="20">
        <v>-317.8</v>
      </c>
      <c r="M10" s="20">
        <v>-324.8</v>
      </c>
      <c r="N10" s="20">
        <v>-331.9</v>
      </c>
      <c r="O10" s="20">
        <v>-339.2</v>
      </c>
      <c r="P10" s="20">
        <v>-346.7</v>
      </c>
      <c r="Q10" s="20">
        <v>-354.3</v>
      </c>
      <c r="R10" s="20">
        <v>-362.1</v>
      </c>
      <c r="S10" s="20">
        <v>-370</v>
      </c>
      <c r="T10" s="20">
        <v>-378.2</v>
      </c>
      <c r="U10" s="20">
        <v>-386.5</v>
      </c>
      <c r="V10" s="20">
        <v>-395</v>
      </c>
      <c r="W10" s="20">
        <v>-403.7</v>
      </c>
      <c r="X10" s="20">
        <v>-412.6</v>
      </c>
      <c r="Y10" s="20">
        <v>-421.7</v>
      </c>
      <c r="Z10" s="20">
        <v>-430.9</v>
      </c>
      <c r="AA10" s="20">
        <v>-440.4</v>
      </c>
      <c r="AB10" s="20">
        <v>-450.1</v>
      </c>
      <c r="AC10" s="20">
        <v>-460</v>
      </c>
      <c r="AD10" s="20">
        <v>-470.1</v>
      </c>
      <c r="AE10" s="21"/>
      <c r="AF10" s="20">
        <v>-271.42857142857144</v>
      </c>
      <c r="AG10" s="20">
        <v>-274.811320754717</v>
      </c>
      <c r="AH10" s="20">
        <v>-320.10752688172045</v>
      </c>
      <c r="AI10" s="20">
        <v>-330.65217391304344</v>
      </c>
      <c r="AJ10" s="20">
        <v>-285.2293577981651</v>
      </c>
      <c r="AK10" s="20">
        <v>-288.9090909090909</v>
      </c>
      <c r="AL10" s="20">
        <v>-341.8947368421053</v>
      </c>
      <c r="AM10" s="20">
        <v>-353.0851063829787</v>
      </c>
      <c r="AN10" s="20">
        <v>-317.0093457943925</v>
      </c>
      <c r="AO10" s="20">
        <v>-321.0185185185185</v>
      </c>
      <c r="AP10" s="20">
        <v>-389.34065934065933</v>
      </c>
      <c r="AQ10" s="20">
        <v>-402.33333333333337</v>
      </c>
      <c r="AR10" s="20">
        <v>-352.38095238095235</v>
      </c>
      <c r="AS10" s="20">
        <v>-356.79245283018867</v>
      </c>
      <c r="AT10" s="20">
        <v>-415.5913978494624</v>
      </c>
      <c r="AU10" s="20">
        <v>-429.3478260869565</v>
      </c>
      <c r="AV10" s="20">
        <v>-370.36697247706417</v>
      </c>
      <c r="AW10" s="20">
        <v>-375.09090909090907</v>
      </c>
      <c r="AX10" s="20">
        <v>-443.89473684210526</v>
      </c>
      <c r="AY10" s="20">
        <v>-458.40425531914894</v>
      </c>
      <c r="AZ10" s="20">
        <v>-411.5887850467289</v>
      </c>
      <c r="BA10" s="20">
        <v>-416.75925925925924</v>
      </c>
      <c r="BB10" s="20">
        <v>-505.49450549450546</v>
      </c>
      <c r="BC10" s="20">
        <v>-522.3333333333334</v>
      </c>
    </row>
    <row r="11" ht="15" customHeight="1">
      <c r="A11" s="19" t="s">
        <v>184</v>
      </c>
      <c r="B11" s="19" t="s">
        <v>332</v>
      </c>
      <c r="C11" s="19" t="s">
        <v>333</v>
      </c>
      <c r="D11" s="19">
        <v>5010</v>
      </c>
      <c r="E11" s="19" t="s">
        <v>335</v>
      </c>
      <c r="F11" s="19" t="s">
        <v>327</v>
      </c>
      <c r="G11" s="20">
        <v>-74</v>
      </c>
      <c r="H11" s="20">
        <v>-75.6</v>
      </c>
      <c r="I11" s="20">
        <v>-77.3</v>
      </c>
      <c r="J11" s="20">
        <v>-79</v>
      </c>
      <c r="K11" s="20">
        <v>-80.7</v>
      </c>
      <c r="L11" s="20">
        <v>-82.5</v>
      </c>
      <c r="M11" s="20">
        <v>-84.3</v>
      </c>
      <c r="N11" s="20">
        <v>-86.2</v>
      </c>
      <c r="O11" s="20">
        <v>-88.1</v>
      </c>
      <c r="P11" s="20">
        <v>-90</v>
      </c>
      <c r="Q11" s="20">
        <v>-92</v>
      </c>
      <c r="R11" s="20">
        <v>-94</v>
      </c>
      <c r="S11" s="20">
        <v>-96.1</v>
      </c>
      <c r="T11" s="20">
        <v>-98.2</v>
      </c>
      <c r="U11" s="20">
        <v>-100.4</v>
      </c>
      <c r="V11" s="20">
        <v>-102.6</v>
      </c>
      <c r="W11" s="20">
        <v>-104.8</v>
      </c>
      <c r="X11" s="20">
        <v>-107.1</v>
      </c>
      <c r="Y11" s="20">
        <v>-109.5</v>
      </c>
      <c r="Z11" s="20">
        <v>-111.9</v>
      </c>
      <c r="AA11" s="20">
        <v>-114.4</v>
      </c>
      <c r="AB11" s="20">
        <v>-116.9</v>
      </c>
      <c r="AC11" s="20">
        <v>-119.4</v>
      </c>
      <c r="AD11" s="20">
        <v>-122.1</v>
      </c>
      <c r="AE11" s="21"/>
      <c r="AF11" s="20">
        <v>-69.81132075471697</v>
      </c>
      <c r="AG11" s="20">
        <v>-70.65420560747663</v>
      </c>
      <c r="AH11" s="20">
        <v>-84.02173913043478</v>
      </c>
      <c r="AI11" s="20">
        <v>-86.8131868131868</v>
      </c>
      <c r="AJ11" s="20">
        <v>-73.36363636363636</v>
      </c>
      <c r="AK11" s="20">
        <v>-78.57142857142857</v>
      </c>
      <c r="AL11" s="20">
        <v>-89.68085106382979</v>
      </c>
      <c r="AM11" s="20">
        <v>-92.68817204301077</v>
      </c>
      <c r="AN11" s="20">
        <v>-81.57407407407406</v>
      </c>
      <c r="AO11" s="20">
        <v>-82.56880733944953</v>
      </c>
      <c r="AP11" s="20">
        <v>-102.22222222222221</v>
      </c>
      <c r="AQ11" s="20">
        <v>-98.94736842105263</v>
      </c>
      <c r="AR11" s="20">
        <v>-90.66037735849055</v>
      </c>
      <c r="AS11" s="20">
        <v>-91.77570093457943</v>
      </c>
      <c r="AT11" s="20">
        <v>-109.1304347826087</v>
      </c>
      <c r="AU11" s="20">
        <v>-112.74725274725273</v>
      </c>
      <c r="AV11" s="20">
        <v>-95.27272727272727</v>
      </c>
      <c r="AW11" s="20">
        <v>-101.99999999999999</v>
      </c>
      <c r="AX11" s="20">
        <v>-116.48936170212767</v>
      </c>
      <c r="AY11" s="20">
        <v>-120.32258064516131</v>
      </c>
      <c r="AZ11" s="20">
        <v>-105.92592592592592</v>
      </c>
      <c r="BA11" s="20">
        <v>-107.24770642201834</v>
      </c>
      <c r="BB11" s="20">
        <v>-132.66666666666666</v>
      </c>
      <c r="BC11" s="20">
        <v>-128.52631578947367</v>
      </c>
    </row>
    <row r="12" ht="15" customHeight="1">
      <c r="A12" s="19" t="s">
        <v>184</v>
      </c>
      <c r="B12" s="19" t="s">
        <v>332</v>
      </c>
      <c r="C12" s="19" t="s">
        <v>333</v>
      </c>
      <c r="D12" s="19">
        <v>5100</v>
      </c>
      <c r="E12" s="19" t="s">
        <v>336</v>
      </c>
      <c r="F12" s="19" t="s">
        <v>327</v>
      </c>
      <c r="G12" s="20">
        <v>-92</v>
      </c>
      <c r="H12" s="20">
        <v>-94</v>
      </c>
      <c r="I12" s="20">
        <v>-96.1</v>
      </c>
      <c r="J12" s="20">
        <v>-98.2</v>
      </c>
      <c r="K12" s="20">
        <v>-100.4</v>
      </c>
      <c r="L12" s="20">
        <v>-102.6</v>
      </c>
      <c r="M12" s="20">
        <v>-104.8</v>
      </c>
      <c r="N12" s="20">
        <v>-107.1</v>
      </c>
      <c r="O12" s="20">
        <v>-109.5</v>
      </c>
      <c r="P12" s="20">
        <v>-111.9</v>
      </c>
      <c r="Q12" s="20">
        <v>-114.4</v>
      </c>
      <c r="R12" s="20">
        <v>-116.9</v>
      </c>
      <c r="S12" s="20">
        <v>-119.5</v>
      </c>
      <c r="T12" s="20">
        <v>-122.1</v>
      </c>
      <c r="U12" s="20">
        <v>-124.8</v>
      </c>
      <c r="V12" s="20">
        <v>-127.5</v>
      </c>
      <c r="W12" s="20">
        <v>-130.3</v>
      </c>
      <c r="X12" s="20">
        <v>-133.2</v>
      </c>
      <c r="Y12" s="20">
        <v>-136.1</v>
      </c>
      <c r="Z12" s="20">
        <v>-139.1</v>
      </c>
      <c r="AA12" s="20">
        <v>-142.2</v>
      </c>
      <c r="AB12" s="20">
        <v>-145.3</v>
      </c>
      <c r="AC12" s="20">
        <v>-148.5</v>
      </c>
      <c r="AD12" s="20">
        <v>-151.8</v>
      </c>
      <c r="AE12" s="21"/>
      <c r="AF12" s="20">
        <v>-85.98130841121495</v>
      </c>
      <c r="AG12" s="20">
        <v>-87.03703703703704</v>
      </c>
      <c r="AH12" s="20">
        <v>-105.60439560439559</v>
      </c>
      <c r="AI12" s="20">
        <v>-109.11111111111111</v>
      </c>
      <c r="AJ12" s="20">
        <v>-95.61904761904762</v>
      </c>
      <c r="AK12" s="20">
        <v>-96.79245283018867</v>
      </c>
      <c r="AL12" s="20">
        <v>-112.68817204301075</v>
      </c>
      <c r="AM12" s="20">
        <v>-116.41304347826086</v>
      </c>
      <c r="AN12" s="20">
        <v>-100.45871559633026</v>
      </c>
      <c r="AO12" s="20">
        <v>-101.72727272727272</v>
      </c>
      <c r="AP12" s="20">
        <v>-120.42105263157896</v>
      </c>
      <c r="AQ12" s="20">
        <v>-124.36170212765958</v>
      </c>
      <c r="AR12" s="20">
        <v>-111.6822429906542</v>
      </c>
      <c r="AS12" s="20">
        <v>-113.05555555555554</v>
      </c>
      <c r="AT12" s="20">
        <v>-137.14285714285714</v>
      </c>
      <c r="AU12" s="20">
        <v>-141.66666666666666</v>
      </c>
      <c r="AV12" s="20">
        <v>-124.0952380952381</v>
      </c>
      <c r="AW12" s="20">
        <v>-125.66037735849055</v>
      </c>
      <c r="AX12" s="20">
        <v>-146.34408602150538</v>
      </c>
      <c r="AY12" s="20">
        <v>-151.19565217391303</v>
      </c>
      <c r="AZ12" s="20">
        <v>-130.45871559633025</v>
      </c>
      <c r="BA12" s="20">
        <v>-132.0909090909091</v>
      </c>
      <c r="BB12" s="20">
        <v>-156.31578947368422</v>
      </c>
      <c r="BC12" s="20">
        <v>-161.48936170212767</v>
      </c>
    </row>
    <row r="13" ht="15" customHeight="1">
      <c r="A13" s="19" t="s">
        <v>184</v>
      </c>
      <c r="B13" s="19" t="s">
        <v>332</v>
      </c>
      <c r="C13" s="19" t="s">
        <v>333</v>
      </c>
      <c r="D13" s="19">
        <v>5200</v>
      </c>
      <c r="E13" s="19" t="s">
        <v>337</v>
      </c>
      <c r="F13" s="19" t="s">
        <v>327</v>
      </c>
      <c r="G13" s="20">
        <v>-215</v>
      </c>
      <c r="H13" s="20">
        <v>-219.1</v>
      </c>
      <c r="I13" s="20">
        <v>-223.2</v>
      </c>
      <c r="J13" s="20">
        <v>-227.5</v>
      </c>
      <c r="K13" s="20">
        <v>-231.8</v>
      </c>
      <c r="L13" s="20">
        <v>-236.2</v>
      </c>
      <c r="M13" s="20">
        <v>-240.7</v>
      </c>
      <c r="N13" s="20">
        <v>-245.3</v>
      </c>
      <c r="O13" s="20">
        <v>-249.9</v>
      </c>
      <c r="P13" s="20">
        <v>-254.7</v>
      </c>
      <c r="Q13" s="20">
        <v>-259.5</v>
      </c>
      <c r="R13" s="20">
        <v>-264.5</v>
      </c>
      <c r="S13" s="20">
        <v>-269.5</v>
      </c>
      <c r="T13" s="20">
        <v>-274.6</v>
      </c>
      <c r="U13" s="20">
        <v>-279.8</v>
      </c>
      <c r="V13" s="20">
        <v>-285.1</v>
      </c>
      <c r="W13" s="20">
        <v>-290.6</v>
      </c>
      <c r="X13" s="20">
        <v>-296.1</v>
      </c>
      <c r="Y13" s="20">
        <v>-301.7</v>
      </c>
      <c r="Z13" s="20">
        <v>-307.4</v>
      </c>
      <c r="AA13" s="20">
        <v>-313.3</v>
      </c>
      <c r="AB13" s="20">
        <v>-319.2</v>
      </c>
      <c r="AC13" s="20">
        <v>-325.3</v>
      </c>
      <c r="AD13" s="20">
        <v>-331.5</v>
      </c>
      <c r="AE13" s="21"/>
      <c r="AF13" s="20">
        <v>-199.07407407407405</v>
      </c>
      <c r="AG13" s="20">
        <v>-201.00917431192659</v>
      </c>
      <c r="AH13" s="20">
        <v>-247.99999999999997</v>
      </c>
      <c r="AI13" s="20">
        <v>-239.47368421052633</v>
      </c>
      <c r="AJ13" s="20">
        <v>-218.67924528301887</v>
      </c>
      <c r="AK13" s="20">
        <v>-220.74766355140184</v>
      </c>
      <c r="AL13" s="20">
        <v>-261.6304347826087</v>
      </c>
      <c r="AM13" s="20">
        <v>-269.5604395604396</v>
      </c>
      <c r="AN13" s="20">
        <v>-227.18181818181816</v>
      </c>
      <c r="AO13" s="20">
        <v>-242.57142857142856</v>
      </c>
      <c r="AP13" s="20">
        <v>-276.06382978723406</v>
      </c>
      <c r="AQ13" s="20">
        <v>-284.40860215053766</v>
      </c>
      <c r="AR13" s="20">
        <v>-249.537037037037</v>
      </c>
      <c r="AS13" s="20">
        <v>-251.92660550458717</v>
      </c>
      <c r="AT13" s="20">
        <v>-310.8888888888889</v>
      </c>
      <c r="AU13" s="20">
        <v>-300.1052631578948</v>
      </c>
      <c r="AV13" s="20">
        <v>-274.1509433962264</v>
      </c>
      <c r="AW13" s="20">
        <v>-276.7289719626168</v>
      </c>
      <c r="AX13" s="20">
        <v>-327.9347826086956</v>
      </c>
      <c r="AY13" s="20">
        <v>-337.8021978021978</v>
      </c>
      <c r="AZ13" s="20">
        <v>-284.8181818181818</v>
      </c>
      <c r="BA13" s="20">
        <v>-304</v>
      </c>
      <c r="BB13" s="20">
        <v>-346.06382978723406</v>
      </c>
      <c r="BC13" s="20">
        <v>-356.45161290322585</v>
      </c>
    </row>
    <row r="14" ht="15" customHeight="1">
      <c r="A14" s="19" t="s">
        <v>184</v>
      </c>
      <c r="B14" s="19" t="s">
        <v>332</v>
      </c>
      <c r="C14" s="19" t="s">
        <v>333</v>
      </c>
      <c r="D14" s="19">
        <v>5210</v>
      </c>
      <c r="E14" s="19" t="s">
        <v>338</v>
      </c>
      <c r="F14" s="19" t="s">
        <v>327</v>
      </c>
      <c r="G14" s="20">
        <v>-38</v>
      </c>
      <c r="H14" s="20">
        <v>-38.5</v>
      </c>
      <c r="I14" s="20">
        <v>-38.9</v>
      </c>
      <c r="J14" s="20">
        <v>-39.4</v>
      </c>
      <c r="K14" s="20">
        <v>-39.9</v>
      </c>
      <c r="L14" s="20">
        <v>-40.3</v>
      </c>
      <c r="M14" s="20">
        <v>-40.8</v>
      </c>
      <c r="N14" s="20">
        <v>-41.3</v>
      </c>
      <c r="O14" s="20">
        <v>-41.8</v>
      </c>
      <c r="P14" s="20">
        <v>-42.3</v>
      </c>
      <c r="Q14" s="20">
        <v>-42.8</v>
      </c>
      <c r="R14" s="20">
        <v>-43.3</v>
      </c>
      <c r="S14" s="20">
        <v>-43.8</v>
      </c>
      <c r="T14" s="20">
        <v>-44.4</v>
      </c>
      <c r="U14" s="20">
        <v>-44.9</v>
      </c>
      <c r="V14" s="20">
        <v>-45.4</v>
      </c>
      <c r="W14" s="20">
        <v>-46</v>
      </c>
      <c r="X14" s="20">
        <v>-46.5</v>
      </c>
      <c r="Y14" s="20">
        <v>-47.1</v>
      </c>
      <c r="Z14" s="20">
        <v>-47.7</v>
      </c>
      <c r="AA14" s="20">
        <v>-48.2</v>
      </c>
      <c r="AB14" s="20">
        <v>-48.8</v>
      </c>
      <c r="AC14" s="20">
        <v>-49.4</v>
      </c>
      <c r="AD14" s="20">
        <v>-50</v>
      </c>
      <c r="AE14" s="21"/>
      <c r="AF14" s="20">
        <v>-34.862385321100916</v>
      </c>
      <c r="AG14" s="20">
        <v>-35</v>
      </c>
      <c r="AH14" s="20">
        <v>-40.94736842105263</v>
      </c>
      <c r="AI14" s="20">
        <v>-41.91489361702128</v>
      </c>
      <c r="AJ14" s="20">
        <v>-37.28971962616822</v>
      </c>
      <c r="AK14" s="20">
        <v>-37.31481481481481</v>
      </c>
      <c r="AL14" s="20">
        <v>-44.83516483516483</v>
      </c>
      <c r="AM14" s="20">
        <v>-45.888888888888886</v>
      </c>
      <c r="AN14" s="20">
        <v>-39.8095238095238</v>
      </c>
      <c r="AO14" s="20">
        <v>-39.90566037735849</v>
      </c>
      <c r="AP14" s="20">
        <v>-46.02150537634409</v>
      </c>
      <c r="AQ14" s="20">
        <v>-47.065217391304344</v>
      </c>
      <c r="AR14" s="20">
        <v>-40.183486238532105</v>
      </c>
      <c r="AS14" s="20">
        <v>-40.36363636363636</v>
      </c>
      <c r="AT14" s="20">
        <v>-47.26315789473684</v>
      </c>
      <c r="AU14" s="20">
        <v>-48.297872340425535</v>
      </c>
      <c r="AV14" s="20">
        <v>-42.99065420560748</v>
      </c>
      <c r="AW14" s="20">
        <v>-43.05555555555555</v>
      </c>
      <c r="AX14" s="20">
        <v>-51.75824175824176</v>
      </c>
      <c r="AY14" s="20">
        <v>-53</v>
      </c>
      <c r="AZ14" s="20">
        <v>-45.904761904761905</v>
      </c>
      <c r="BA14" s="20">
        <v>-46.037735849056595</v>
      </c>
      <c r="BB14" s="20">
        <v>-53.11827956989247</v>
      </c>
      <c r="BC14" s="20">
        <v>-54.347826086956516</v>
      </c>
    </row>
    <row r="15" ht="15" customHeight="1">
      <c r="A15" s="22" t="s">
        <v>184</v>
      </c>
      <c r="B15" s="22" t="s">
        <v>332</v>
      </c>
      <c r="C15" s="22" t="s">
        <v>42</v>
      </c>
      <c r="D15" s="22" t="s">
        <v>43</v>
      </c>
      <c r="E15" s="22" t="s">
        <v>339</v>
      </c>
      <c r="F15" s="22" t="s">
        <v>327</v>
      </c>
      <c r="G15" s="23">
        <f t="shared" si="1" ref="G15:BC41">SUM(G10:G14)</f>
        <v>-704</v>
      </c>
      <c r="H15" s="23">
        <f t="shared" si="1"/>
        <v>-718.5</v>
      </c>
      <c r="I15" s="23">
        <f t="shared" si="1"/>
        <v>-733.2</v>
      </c>
      <c r="J15" s="23">
        <f t="shared" si="1"/>
        <v>-748.3</v>
      </c>
      <c r="K15" s="23">
        <f t="shared" si="1"/>
        <v>-763.7</v>
      </c>
      <c r="L15" s="23">
        <f t="shared" si="1"/>
        <v>-779.4</v>
      </c>
      <c r="M15" s="23">
        <f t="shared" si="1"/>
        <v>-795.4</v>
      </c>
      <c r="N15" s="23">
        <f t="shared" si="1"/>
        <v>-811.8</v>
      </c>
      <c r="O15" s="23">
        <f t="shared" si="1"/>
        <v>-828.5</v>
      </c>
      <c r="P15" s="23">
        <f t="shared" si="1"/>
        <v>-845.6</v>
      </c>
      <c r="Q15" s="23">
        <f t="shared" si="1"/>
        <v>-863</v>
      </c>
      <c r="R15" s="23">
        <f t="shared" si="1"/>
        <v>-880.8</v>
      </c>
      <c r="S15" s="23">
        <f t="shared" si="1"/>
        <v>-898.9</v>
      </c>
      <c r="T15" s="23">
        <f t="shared" si="1"/>
        <v>-917.5</v>
      </c>
      <c r="U15" s="23">
        <f t="shared" si="1"/>
        <v>-936.4</v>
      </c>
      <c r="V15" s="23">
        <f t="shared" si="1"/>
        <v>-955.6</v>
      </c>
      <c r="W15" s="23">
        <f t="shared" si="1"/>
        <v>-975.4</v>
      </c>
      <c r="X15" s="23">
        <f t="shared" si="1"/>
        <v>-995.5</v>
      </c>
      <c r="Y15" s="23">
        <f t="shared" si="1"/>
        <v>-1016.1</v>
      </c>
      <c r="Z15" s="23">
        <f t="shared" si="1"/>
        <v>-1037</v>
      </c>
      <c r="AA15" s="23">
        <f t="shared" si="1"/>
        <v>-1058.5</v>
      </c>
      <c r="AB15" s="23">
        <f t="shared" si="1"/>
        <v>-1080.3</v>
      </c>
      <c r="AC15" s="23">
        <f t="shared" si="1"/>
        <v>-1102.6</v>
      </c>
      <c r="AD15" s="23">
        <f t="shared" si="1"/>
        <v>-1125.5</v>
      </c>
      <c r="AE15" s="24"/>
      <c r="AF15" s="23">
        <f t="shared" si="1"/>
        <v>-661.157659989678</v>
      </c>
      <c r="AG15" s="23">
        <f t="shared" si="1"/>
        <v>-668.511737711157</v>
      </c>
      <c r="AH15" s="23">
        <f t="shared" si="1"/>
        <v>-798.681030037603</v>
      </c>
      <c r="AI15" s="23">
        <f t="shared" si="1"/>
        <v>-807.965049664889</v>
      </c>
      <c r="AJ15" s="23">
        <f t="shared" si="1"/>
        <v>-710.181006690036</v>
      </c>
      <c r="AK15" s="23">
        <f t="shared" si="1"/>
        <v>-722.335450676925</v>
      </c>
      <c r="AL15" s="23">
        <f t="shared" si="1"/>
        <v>-850.729359566719</v>
      </c>
      <c r="AM15" s="23">
        <f t="shared" si="1"/>
        <v>-877.635650353579</v>
      </c>
      <c r="AN15" s="23">
        <f t="shared" si="1"/>
        <v>-766.033477456139</v>
      </c>
      <c r="AO15" s="23">
        <f t="shared" si="1"/>
        <v>-787.791687534028</v>
      </c>
      <c r="AP15" s="23">
        <f t="shared" si="1"/>
        <v>-934.069269358039</v>
      </c>
      <c r="AQ15" s="23">
        <f t="shared" si="1"/>
        <v>-957.116223423888</v>
      </c>
      <c r="AR15" s="23">
        <f t="shared" si="1"/>
        <v>-844.444096005666</v>
      </c>
      <c r="AS15" s="23">
        <f t="shared" si="1"/>
        <v>-853.913951188547</v>
      </c>
      <c r="AT15" s="23">
        <f t="shared" si="1"/>
        <v>-1020.01673655855</v>
      </c>
      <c r="AU15" s="23">
        <f t="shared" si="1"/>
        <v>-1032.1648809992</v>
      </c>
      <c r="AV15" s="23">
        <f t="shared" si="1"/>
        <v>-906.876535446863</v>
      </c>
      <c r="AW15" s="23">
        <f t="shared" si="1"/>
        <v>-922.535813967572</v>
      </c>
      <c r="AX15" s="23">
        <f t="shared" si="1"/>
        <v>-1086.42120893268</v>
      </c>
      <c r="AY15" s="23">
        <f t="shared" si="1"/>
        <v>-1120.72468594042</v>
      </c>
      <c r="AZ15" s="23">
        <f t="shared" si="1"/>
        <v>-978.696370291929</v>
      </c>
      <c r="BA15" s="23">
        <f t="shared" si="1"/>
        <v>-1006.13561062124</v>
      </c>
      <c r="BB15" s="23">
        <f t="shared" si="1"/>
        <v>-1193.65907099198</v>
      </c>
      <c r="BC15" s="23">
        <f t="shared" si="1"/>
        <v>-1223.14844981512</v>
      </c>
    </row>
    <row r="16" ht="15" customHeight="1">
      <c r="A16" s="19" t="s">
        <v>45</v>
      </c>
      <c r="B16" s="19" t="s">
        <v>45</v>
      </c>
      <c r="C16" s="19" t="s">
        <v>45</v>
      </c>
      <c r="D16" s="19" t="s">
        <v>45</v>
      </c>
      <c r="E16" s="19" t="s">
        <v>45</v>
      </c>
      <c r="F16" s="19" t="s">
        <v>45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1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</row>
    <row r="17" ht="15" customHeight="1">
      <c r="A17" s="19" t="s">
        <v>184</v>
      </c>
      <c r="B17" s="19" t="s">
        <v>91</v>
      </c>
      <c r="C17" s="19" t="s">
        <v>340</v>
      </c>
      <c r="D17" s="19">
        <v>6000</v>
      </c>
      <c r="E17" s="19" t="s">
        <v>341</v>
      </c>
      <c r="F17" s="19" t="s">
        <v>327</v>
      </c>
      <c r="G17" s="20">
        <v>-395</v>
      </c>
      <c r="H17" s="20">
        <v>-402.5</v>
      </c>
      <c r="I17" s="20">
        <v>-410.2</v>
      </c>
      <c r="J17" s="20">
        <v>-417.9</v>
      </c>
      <c r="K17" s="20">
        <v>-425.9</v>
      </c>
      <c r="L17" s="20">
        <v>-434</v>
      </c>
      <c r="M17" s="20">
        <v>-442.2</v>
      </c>
      <c r="N17" s="20">
        <v>-450.6</v>
      </c>
      <c r="O17" s="20">
        <v>-459.2</v>
      </c>
      <c r="P17" s="20">
        <v>-467.9</v>
      </c>
      <c r="Q17" s="20">
        <v>-476.8</v>
      </c>
      <c r="R17" s="20">
        <v>-485.9</v>
      </c>
      <c r="S17" s="20">
        <v>-495.1</v>
      </c>
      <c r="T17" s="20">
        <v>-504.5</v>
      </c>
      <c r="U17" s="20">
        <v>-514.1</v>
      </c>
      <c r="V17" s="20">
        <v>-523.9</v>
      </c>
      <c r="W17" s="20">
        <v>-533.8</v>
      </c>
      <c r="X17" s="20">
        <v>-543.9</v>
      </c>
      <c r="Y17" s="20">
        <v>-554.3</v>
      </c>
      <c r="Z17" s="20">
        <v>-564.8</v>
      </c>
      <c r="AA17" s="20">
        <v>-575.5</v>
      </c>
      <c r="AB17" s="20">
        <v>-586.5</v>
      </c>
      <c r="AC17" s="20">
        <v>-597.6</v>
      </c>
      <c r="AD17" s="20">
        <v>-609</v>
      </c>
      <c r="AE17" s="21"/>
      <c r="AF17" s="20">
        <v>-372.64150943396226</v>
      </c>
      <c r="AG17" s="20">
        <v>-376.1682242990654</v>
      </c>
      <c r="AH17" s="20">
        <v>-445.86956521739125</v>
      </c>
      <c r="AI17" s="20">
        <v>-459.23076923076917</v>
      </c>
      <c r="AJ17" s="20">
        <v>-387.18181818181813</v>
      </c>
      <c r="AK17" s="20">
        <v>-413.3333333333333</v>
      </c>
      <c r="AL17" s="20">
        <v>-470.4255319148936</v>
      </c>
      <c r="AM17" s="20">
        <v>-484.5161290322581</v>
      </c>
      <c r="AN17" s="20">
        <v>-425.18518518518516</v>
      </c>
      <c r="AO17" s="20">
        <v>-429.2660550458715</v>
      </c>
      <c r="AP17" s="20">
        <v>-529.7777777777778</v>
      </c>
      <c r="AQ17" s="20">
        <v>-511.4736842105263</v>
      </c>
      <c r="AR17" s="20">
        <v>-467.07547169811323</v>
      </c>
      <c r="AS17" s="20">
        <v>-471.4953271028037</v>
      </c>
      <c r="AT17" s="20">
        <v>-558.804347826087</v>
      </c>
      <c r="AU17" s="20">
        <v>-575.7142857142857</v>
      </c>
      <c r="AV17" s="20">
        <v>-485.2727272727272</v>
      </c>
      <c r="AW17" s="20">
        <v>-518</v>
      </c>
      <c r="AX17" s="20">
        <v>-589.6808510638298</v>
      </c>
      <c r="AY17" s="20">
        <v>-607.3118279569892</v>
      </c>
      <c r="AZ17" s="20">
        <v>-532.8703703703703</v>
      </c>
      <c r="BA17" s="20">
        <v>-538.0733944954128</v>
      </c>
      <c r="BB17" s="20">
        <v>-664</v>
      </c>
      <c r="BC17" s="20">
        <v>-641.0526315789474</v>
      </c>
    </row>
    <row r="18" ht="15" customHeight="1">
      <c r="A18" s="19" t="s">
        <v>184</v>
      </c>
      <c r="B18" s="19" t="s">
        <v>91</v>
      </c>
      <c r="C18" s="19" t="s">
        <v>340</v>
      </c>
      <c r="D18" s="19">
        <v>6010</v>
      </c>
      <c r="E18" s="19" t="s">
        <v>342</v>
      </c>
      <c r="F18" s="19" t="s">
        <v>327</v>
      </c>
      <c r="G18" s="20">
        <v>-142</v>
      </c>
      <c r="H18" s="20">
        <v>-143.7</v>
      </c>
      <c r="I18" s="20">
        <v>-145.4</v>
      </c>
      <c r="J18" s="20">
        <v>-147.2</v>
      </c>
      <c r="K18" s="20">
        <v>-148.9</v>
      </c>
      <c r="L18" s="20">
        <v>-150.7</v>
      </c>
      <c r="M18" s="20">
        <v>-152.5</v>
      </c>
      <c r="N18" s="20">
        <v>-154.4</v>
      </c>
      <c r="O18" s="20">
        <v>-156.2</v>
      </c>
      <c r="P18" s="20">
        <v>-158.1</v>
      </c>
      <c r="Q18" s="20">
        <v>-160</v>
      </c>
      <c r="R18" s="20">
        <v>-161.9</v>
      </c>
      <c r="S18" s="20">
        <v>-163.9</v>
      </c>
      <c r="T18" s="20">
        <v>-165.8</v>
      </c>
      <c r="U18" s="20">
        <v>-167.8</v>
      </c>
      <c r="V18" s="20">
        <v>-169.8</v>
      </c>
      <c r="W18" s="20">
        <v>-171.9</v>
      </c>
      <c r="X18" s="20">
        <v>-173.9</v>
      </c>
      <c r="Y18" s="20">
        <v>-176</v>
      </c>
      <c r="Z18" s="20">
        <v>-178.1</v>
      </c>
      <c r="AA18" s="20">
        <v>-180.3</v>
      </c>
      <c r="AB18" s="20">
        <v>-182.4</v>
      </c>
      <c r="AC18" s="20">
        <v>-184.6</v>
      </c>
      <c r="AD18" s="20">
        <v>-186.8</v>
      </c>
      <c r="AE18" s="21"/>
      <c r="AF18" s="20">
        <v>-132.71028037383178</v>
      </c>
      <c r="AG18" s="20">
        <v>-133.05555555555554</v>
      </c>
      <c r="AH18" s="20">
        <v>-159.7802197802198</v>
      </c>
      <c r="AI18" s="20">
        <v>-163.55555555555554</v>
      </c>
      <c r="AJ18" s="20">
        <v>-141.8095238095238</v>
      </c>
      <c r="AK18" s="20">
        <v>-142.1698113207547</v>
      </c>
      <c r="AL18" s="20">
        <v>-163.97849462365593</v>
      </c>
      <c r="AM18" s="20">
        <v>-167.82608695652175</v>
      </c>
      <c r="AN18" s="20">
        <v>-143.30275229357795</v>
      </c>
      <c r="AO18" s="20">
        <v>-143.72727272727272</v>
      </c>
      <c r="AP18" s="20">
        <v>-168.42105263157896</v>
      </c>
      <c r="AQ18" s="20">
        <v>-172.2340425531915</v>
      </c>
      <c r="AR18" s="20">
        <v>-153.17757009345794</v>
      </c>
      <c r="AS18" s="20">
        <v>-153.5185185185185</v>
      </c>
      <c r="AT18" s="20">
        <v>-184.3956043956044</v>
      </c>
      <c r="AU18" s="20">
        <v>-188.66666666666669</v>
      </c>
      <c r="AV18" s="20">
        <v>-163.71428571428572</v>
      </c>
      <c r="AW18" s="20">
        <v>-164.0566037735849</v>
      </c>
      <c r="AX18" s="20">
        <v>-189.247311827957</v>
      </c>
      <c r="AY18" s="20">
        <v>-193.58695652173913</v>
      </c>
      <c r="AZ18" s="20">
        <v>-165.41284403669724</v>
      </c>
      <c r="BA18" s="20">
        <v>-165.8181818181818</v>
      </c>
      <c r="BB18" s="20">
        <v>-194.31578947368422</v>
      </c>
      <c r="BC18" s="20">
        <v>-198.72340425531917</v>
      </c>
    </row>
    <row r="19" ht="15" customHeight="1">
      <c r="A19" s="19" t="s">
        <v>184</v>
      </c>
      <c r="B19" s="19" t="s">
        <v>91</v>
      </c>
      <c r="C19" s="19" t="s">
        <v>340</v>
      </c>
      <c r="D19" s="19">
        <v>6020</v>
      </c>
      <c r="E19" s="19" t="s">
        <v>343</v>
      </c>
      <c r="F19" s="19" t="s">
        <v>327</v>
      </c>
      <c r="G19" s="20">
        <v>-112.7</v>
      </c>
      <c r="H19" s="20">
        <v>-115.2</v>
      </c>
      <c r="I19" s="20">
        <v>-119</v>
      </c>
      <c r="J19" s="20">
        <v>-119.2</v>
      </c>
      <c r="K19" s="20">
        <v>-123</v>
      </c>
      <c r="L19" s="20">
        <v>-125.7</v>
      </c>
      <c r="M19" s="20">
        <v>-122.3</v>
      </c>
      <c r="N19" s="20">
        <v>-121.3</v>
      </c>
      <c r="O19" s="20">
        <v>-127.8</v>
      </c>
      <c r="P19" s="20">
        <v>-130.6</v>
      </c>
      <c r="Q19" s="20">
        <v>-136</v>
      </c>
      <c r="R19" s="20">
        <v>-144.2</v>
      </c>
      <c r="S19" s="20">
        <v>-130</v>
      </c>
      <c r="T19" s="20">
        <v>-132.9</v>
      </c>
      <c r="U19" s="20">
        <v>-137.3</v>
      </c>
      <c r="V19" s="20">
        <v>-137.5</v>
      </c>
      <c r="W19" s="20">
        <v>-142</v>
      </c>
      <c r="X19" s="20">
        <v>-145.1</v>
      </c>
      <c r="Y19" s="20">
        <v>-141.1</v>
      </c>
      <c r="Z19" s="20">
        <v>-139.9</v>
      </c>
      <c r="AA19" s="20">
        <v>-147.4</v>
      </c>
      <c r="AB19" s="20">
        <v>-150.7</v>
      </c>
      <c r="AC19" s="20">
        <v>-157</v>
      </c>
      <c r="AD19" s="20">
        <v>-166.4</v>
      </c>
      <c r="AE19" s="21"/>
      <c r="AF19" s="20">
        <v>-104.35185185185185</v>
      </c>
      <c r="AG19" s="20">
        <v>-105.6880733944954</v>
      </c>
      <c r="AH19" s="20">
        <v>-132.22222222222223</v>
      </c>
      <c r="AI19" s="20">
        <v>-125.47368421052633</v>
      </c>
      <c r="AJ19" s="20">
        <v>-116.0377358490566</v>
      </c>
      <c r="AK19" s="20">
        <v>-117.47663551401868</v>
      </c>
      <c r="AL19" s="20">
        <v>-132.93478260869566</v>
      </c>
      <c r="AM19" s="20">
        <v>-133.2967032967033</v>
      </c>
      <c r="AN19" s="20">
        <v>-116.18181818181817</v>
      </c>
      <c r="AO19" s="20">
        <v>-124.38095238095237</v>
      </c>
      <c r="AP19" s="20">
        <v>-144.6808510638298</v>
      </c>
      <c r="AQ19" s="20">
        <v>-155.05376344086022</v>
      </c>
      <c r="AR19" s="20">
        <v>-120.37037037037037</v>
      </c>
      <c r="AS19" s="20">
        <v>-121.92660550458716</v>
      </c>
      <c r="AT19" s="20">
        <v>-152.55555555555557</v>
      </c>
      <c r="AU19" s="20">
        <v>-144.73684210526318</v>
      </c>
      <c r="AV19" s="20">
        <v>-133.96226415094338</v>
      </c>
      <c r="AW19" s="20">
        <v>-135.60747663551402</v>
      </c>
      <c r="AX19" s="20">
        <v>-153.36956521739128</v>
      </c>
      <c r="AY19" s="20">
        <v>-153.73626373626374</v>
      </c>
      <c r="AZ19" s="20">
        <v>-134</v>
      </c>
      <c r="BA19" s="20">
        <v>-143.52380952380952</v>
      </c>
      <c r="BB19" s="20">
        <v>-167.0212765957447</v>
      </c>
      <c r="BC19" s="20">
        <v>-178.9247311827957</v>
      </c>
    </row>
    <row r="20" ht="15" customHeight="1">
      <c r="A20" s="19" t="s">
        <v>184</v>
      </c>
      <c r="B20" s="19" t="s">
        <v>91</v>
      </c>
      <c r="C20" s="19" t="s">
        <v>340</v>
      </c>
      <c r="D20" s="19">
        <v>6030</v>
      </c>
      <c r="E20" s="19" t="s">
        <v>344</v>
      </c>
      <c r="F20" s="19" t="s">
        <v>327</v>
      </c>
      <c r="G20" s="20">
        <v>-98</v>
      </c>
      <c r="H20" s="20">
        <v>-99.9</v>
      </c>
      <c r="I20" s="20">
        <v>-101.8</v>
      </c>
      <c r="J20" s="20">
        <v>-103.7</v>
      </c>
      <c r="K20" s="20">
        <v>-105.7</v>
      </c>
      <c r="L20" s="20">
        <v>-107.7</v>
      </c>
      <c r="M20" s="20">
        <v>-109.7</v>
      </c>
      <c r="N20" s="20">
        <v>-111.8</v>
      </c>
      <c r="O20" s="20">
        <v>-113.9</v>
      </c>
      <c r="P20" s="20">
        <v>-116.1</v>
      </c>
      <c r="Q20" s="20">
        <v>-118.3</v>
      </c>
      <c r="R20" s="20">
        <v>-120.5</v>
      </c>
      <c r="S20" s="20">
        <v>-122.8</v>
      </c>
      <c r="T20" s="20">
        <v>-125.2</v>
      </c>
      <c r="U20" s="20">
        <v>-127.5</v>
      </c>
      <c r="V20" s="20">
        <v>-130</v>
      </c>
      <c r="W20" s="20">
        <v>-132.4</v>
      </c>
      <c r="X20" s="20">
        <v>-135</v>
      </c>
      <c r="Y20" s="20">
        <v>-137.5</v>
      </c>
      <c r="Z20" s="20">
        <v>-140.1</v>
      </c>
      <c r="AA20" s="20">
        <v>-142.8</v>
      </c>
      <c r="AB20" s="20">
        <v>-145.5</v>
      </c>
      <c r="AC20" s="20">
        <v>-148.3</v>
      </c>
      <c r="AD20" s="20">
        <v>-151.1</v>
      </c>
      <c r="AE20" s="21"/>
      <c r="AF20" s="20">
        <v>-89.90825688073394</v>
      </c>
      <c r="AG20" s="20">
        <v>-90.81818181818181</v>
      </c>
      <c r="AH20" s="20">
        <v>-107.15789473684211</v>
      </c>
      <c r="AI20" s="20">
        <v>-110.31914893617022</v>
      </c>
      <c r="AJ20" s="20">
        <v>-98.78504672897196</v>
      </c>
      <c r="AK20" s="20">
        <v>-99.72222222222221</v>
      </c>
      <c r="AL20" s="20">
        <v>-120.54945054945055</v>
      </c>
      <c r="AM20" s="20">
        <v>-124.22222222222221</v>
      </c>
      <c r="AN20" s="20">
        <v>-108.47619047619048</v>
      </c>
      <c r="AO20" s="20">
        <v>-109.52830188679245</v>
      </c>
      <c r="AP20" s="20">
        <v>-127.20430107526882</v>
      </c>
      <c r="AQ20" s="20">
        <v>-130.97826086956522</v>
      </c>
      <c r="AR20" s="20">
        <v>-112.66055045871559</v>
      </c>
      <c r="AS20" s="20">
        <v>-113.81818181818181</v>
      </c>
      <c r="AT20" s="20">
        <v>-134.21052631578948</v>
      </c>
      <c r="AU20" s="20">
        <v>-138.29787234042553</v>
      </c>
      <c r="AV20" s="20">
        <v>-123.73831775700934</v>
      </c>
      <c r="AW20" s="20">
        <v>-124.99999999999999</v>
      </c>
      <c r="AX20" s="20">
        <v>-151.09890109890108</v>
      </c>
      <c r="AY20" s="20">
        <v>-155.66666666666666</v>
      </c>
      <c r="AZ20" s="20">
        <v>-136</v>
      </c>
      <c r="BA20" s="20">
        <v>-137.26415094339623</v>
      </c>
      <c r="BB20" s="20">
        <v>-159.46236559139788</v>
      </c>
      <c r="BC20" s="20">
        <v>-164.2391304347826</v>
      </c>
    </row>
    <row r="21" ht="15" customHeight="1">
      <c r="A21" s="19" t="s">
        <v>184</v>
      </c>
      <c r="B21" s="19" t="s">
        <v>91</v>
      </c>
      <c r="C21" s="19" t="s">
        <v>340</v>
      </c>
      <c r="D21" s="19">
        <v>6050</v>
      </c>
      <c r="E21" s="19" t="s">
        <v>345</v>
      </c>
      <c r="F21" s="19" t="s">
        <v>327</v>
      </c>
      <c r="G21" s="20">
        <v>-43.1</v>
      </c>
      <c r="H21" s="20">
        <v>-44.1</v>
      </c>
      <c r="I21" s="20">
        <v>-45.5</v>
      </c>
      <c r="J21" s="20">
        <v>-45.6</v>
      </c>
      <c r="K21" s="20">
        <v>-47.1</v>
      </c>
      <c r="L21" s="20">
        <v>-48.1</v>
      </c>
      <c r="M21" s="20">
        <v>-46.8</v>
      </c>
      <c r="N21" s="20">
        <v>-46.4</v>
      </c>
      <c r="O21" s="20">
        <v>-48.9</v>
      </c>
      <c r="P21" s="20">
        <v>-50</v>
      </c>
      <c r="Q21" s="20">
        <v>-52.1</v>
      </c>
      <c r="R21" s="20">
        <v>-55.2</v>
      </c>
      <c r="S21" s="20">
        <v>-49.8</v>
      </c>
      <c r="T21" s="20">
        <v>-50.9</v>
      </c>
      <c r="U21" s="20">
        <v>-52.5</v>
      </c>
      <c r="V21" s="20">
        <v>-52.6</v>
      </c>
      <c r="W21" s="20">
        <v>-54.3</v>
      </c>
      <c r="X21" s="20">
        <v>-55.5</v>
      </c>
      <c r="Y21" s="20">
        <v>-54</v>
      </c>
      <c r="Z21" s="20">
        <v>-53.5</v>
      </c>
      <c r="AA21" s="20">
        <v>-56.4</v>
      </c>
      <c r="AB21" s="20">
        <v>-57.7</v>
      </c>
      <c r="AC21" s="20">
        <v>-60.1</v>
      </c>
      <c r="AD21" s="20">
        <v>-63.7</v>
      </c>
      <c r="AE21" s="21"/>
      <c r="AF21" s="20">
        <v>-39.18181818181818</v>
      </c>
      <c r="AG21" s="20">
        <v>-42</v>
      </c>
      <c r="AH21" s="20">
        <v>-48.40425531914894</v>
      </c>
      <c r="AI21" s="20">
        <v>-49.032258064516135</v>
      </c>
      <c r="AJ21" s="20">
        <v>-43.61111111111111</v>
      </c>
      <c r="AK21" s="20">
        <v>-44.12844036697248</v>
      </c>
      <c r="AL21" s="20">
        <v>-51.99999999999999</v>
      </c>
      <c r="AM21" s="20">
        <v>-48.8421052631579</v>
      </c>
      <c r="AN21" s="20">
        <v>-46.13207547169811</v>
      </c>
      <c r="AO21" s="20">
        <v>-46.72897196261682</v>
      </c>
      <c r="AP21" s="20">
        <v>-56.630434782608695</v>
      </c>
      <c r="AQ21" s="20">
        <v>-60.65934065934066</v>
      </c>
      <c r="AR21" s="20">
        <v>-45.272727272727266</v>
      </c>
      <c r="AS21" s="20">
        <v>-48.476190476190474</v>
      </c>
      <c r="AT21" s="20">
        <v>-55.851063829787236</v>
      </c>
      <c r="AU21" s="20">
        <v>-56.55913978494624</v>
      </c>
      <c r="AV21" s="20">
        <v>-50.27777777777777</v>
      </c>
      <c r="AW21" s="20">
        <v>-50.917431192660544</v>
      </c>
      <c r="AX21" s="20">
        <v>-60</v>
      </c>
      <c r="AY21" s="20">
        <v>-56.31578947368421</v>
      </c>
      <c r="AZ21" s="20">
        <v>-53.20754716981131</v>
      </c>
      <c r="BA21" s="20">
        <v>-53.925233644859816</v>
      </c>
      <c r="BB21" s="20">
        <v>-65.32608695652173</v>
      </c>
      <c r="BC21" s="20">
        <v>-70</v>
      </c>
    </row>
    <row r="22" ht="15" customHeight="1">
      <c r="A22" s="22" t="s">
        <v>184</v>
      </c>
      <c r="B22" s="22" t="s">
        <v>91</v>
      </c>
      <c r="C22" s="22" t="s">
        <v>42</v>
      </c>
      <c r="D22" s="22" t="s">
        <v>43</v>
      </c>
      <c r="E22" s="22" t="s">
        <v>346</v>
      </c>
      <c r="F22" s="22" t="s">
        <v>327</v>
      </c>
      <c r="G22" s="23">
        <f t="shared" si="1"/>
        <v>-790.8</v>
      </c>
      <c r="H22" s="23">
        <f t="shared" si="1"/>
        <v>-805.4</v>
      </c>
      <c r="I22" s="23">
        <f t="shared" si="1"/>
        <v>-821.9</v>
      </c>
      <c r="J22" s="23">
        <f t="shared" si="1"/>
        <v>-833.6</v>
      </c>
      <c r="K22" s="23">
        <f t="shared" si="1"/>
        <v>-850.6</v>
      </c>
      <c r="L22" s="23">
        <f t="shared" si="1"/>
        <v>-866.2</v>
      </c>
      <c r="M22" s="23">
        <f t="shared" si="1"/>
        <v>-873.5</v>
      </c>
      <c r="N22" s="23">
        <f t="shared" si="1"/>
        <v>-884.5</v>
      </c>
      <c r="O22" s="23">
        <f t="shared" si="1"/>
        <v>-906</v>
      </c>
      <c r="P22" s="23">
        <f t="shared" si="1"/>
        <v>-922.7</v>
      </c>
      <c r="Q22" s="23">
        <f t="shared" si="1"/>
        <v>-943.2</v>
      </c>
      <c r="R22" s="23">
        <f t="shared" si="1"/>
        <v>-967.7</v>
      </c>
      <c r="S22" s="23">
        <f t="shared" si="1"/>
        <v>-961.6</v>
      </c>
      <c r="T22" s="23">
        <f t="shared" si="1"/>
        <v>-979.3</v>
      </c>
      <c r="U22" s="23">
        <f t="shared" si="1"/>
        <v>-999.2</v>
      </c>
      <c r="V22" s="23">
        <f t="shared" si="1"/>
        <v>-1013.8</v>
      </c>
      <c r="W22" s="23">
        <f t="shared" si="1"/>
        <v>-1034.4</v>
      </c>
      <c r="X22" s="23">
        <f t="shared" si="1"/>
        <v>-1053.4</v>
      </c>
      <c r="Y22" s="23">
        <f t="shared" si="1"/>
        <v>-1062.9</v>
      </c>
      <c r="Z22" s="23">
        <f t="shared" si="1"/>
        <v>-1076.4</v>
      </c>
      <c r="AA22" s="23">
        <f t="shared" si="1"/>
        <v>-1102.4</v>
      </c>
      <c r="AB22" s="23">
        <f t="shared" si="1"/>
        <v>-1122.8</v>
      </c>
      <c r="AC22" s="23">
        <f t="shared" si="1"/>
        <v>-1147.6</v>
      </c>
      <c r="AD22" s="23">
        <f t="shared" si="1"/>
        <v>-1177</v>
      </c>
      <c r="AE22" s="24"/>
      <c r="AF22" s="23">
        <f t="shared" si="1"/>
        <v>-738.793716722198</v>
      </c>
      <c r="AG22" s="23">
        <f t="shared" si="1"/>
        <v>-747.730035067298</v>
      </c>
      <c r="AH22" s="23">
        <f t="shared" si="1"/>
        <v>-893.434157275824</v>
      </c>
      <c r="AI22" s="23">
        <f t="shared" si="1"/>
        <v>-907.611415997537</v>
      </c>
      <c r="AJ22" s="23">
        <f t="shared" si="1"/>
        <v>-787.425235680482</v>
      </c>
      <c r="AK22" s="23">
        <f t="shared" si="1"/>
        <v>-816.830442757301</v>
      </c>
      <c r="AL22" s="23">
        <f t="shared" si="1"/>
        <v>-939.888259696696</v>
      </c>
      <c r="AM22" s="23">
        <f t="shared" si="1"/>
        <v>-958.703246770863</v>
      </c>
      <c r="AN22" s="23">
        <f t="shared" si="1"/>
        <v>-839.27802160847</v>
      </c>
      <c r="AO22" s="23">
        <f t="shared" si="1"/>
        <v>-853.631554003506</v>
      </c>
      <c r="AP22" s="23">
        <f t="shared" si="1"/>
        <v>-1026.71441733106</v>
      </c>
      <c r="AQ22" s="23">
        <f t="shared" si="1"/>
        <v>-1030.39909173348</v>
      </c>
      <c r="AR22" s="23">
        <f t="shared" si="1"/>
        <v>-898.556689893384</v>
      </c>
      <c r="AS22" s="23">
        <f t="shared" si="1"/>
        <v>-909.234823420282</v>
      </c>
      <c r="AT22" s="23">
        <f t="shared" si="1"/>
        <v>-1085.81709792282</v>
      </c>
      <c r="AU22" s="23">
        <f t="shared" si="1"/>
        <v>-1103.97480661159</v>
      </c>
      <c r="AV22" s="23">
        <f t="shared" si="1"/>
        <v>-956.965372672743</v>
      </c>
      <c r="AW22" s="23">
        <f t="shared" si="1"/>
        <v>-993.581511601759</v>
      </c>
      <c r="AX22" s="23">
        <f t="shared" si="1"/>
        <v>-1143.39662920808</v>
      </c>
      <c r="AY22" s="23">
        <f t="shared" si="1"/>
        <v>-1166.61750435534</v>
      </c>
      <c r="AZ22" s="23">
        <f t="shared" si="1"/>
        <v>-1021.49076157688</v>
      </c>
      <c r="BA22" s="23">
        <f t="shared" si="1"/>
        <v>-1038.60477042566</v>
      </c>
      <c r="BB22" s="23">
        <f t="shared" si="1"/>
        <v>-1250.12551861735</v>
      </c>
      <c r="BC22" s="23">
        <f t="shared" si="1"/>
        <v>-1252.93989745184</v>
      </c>
    </row>
    <row r="23" ht="15" customHeight="1">
      <c r="A23" s="19" t="s">
        <v>45</v>
      </c>
      <c r="B23" s="19" t="s">
        <v>45</v>
      </c>
      <c r="C23" s="19" t="s">
        <v>45</v>
      </c>
      <c r="D23" s="19" t="s">
        <v>45</v>
      </c>
      <c r="E23" s="19" t="s">
        <v>45</v>
      </c>
      <c r="F23" s="19" t="s">
        <v>45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1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</row>
    <row r="24" ht="15" customHeight="1">
      <c r="A24" s="19" t="s">
        <v>184</v>
      </c>
      <c r="B24" s="19" t="s">
        <v>347</v>
      </c>
      <c r="C24" s="19" t="s">
        <v>348</v>
      </c>
      <c r="D24" s="19">
        <v>6100</v>
      </c>
      <c r="E24" s="19" t="s">
        <v>349</v>
      </c>
      <c r="F24" s="19" t="s">
        <v>327</v>
      </c>
      <c r="G24" s="20">
        <v>-220</v>
      </c>
      <c r="H24" s="20">
        <v>-224.2</v>
      </c>
      <c r="I24" s="20">
        <v>-228.4</v>
      </c>
      <c r="J24" s="20">
        <v>-232.8</v>
      </c>
      <c r="K24" s="20">
        <v>-237.2</v>
      </c>
      <c r="L24" s="20">
        <v>-241.7</v>
      </c>
      <c r="M24" s="20">
        <v>-246.3</v>
      </c>
      <c r="N24" s="20">
        <v>-251</v>
      </c>
      <c r="O24" s="20">
        <v>-255.8</v>
      </c>
      <c r="P24" s="20">
        <v>-260.6</v>
      </c>
      <c r="Q24" s="20">
        <v>-265.6</v>
      </c>
      <c r="R24" s="20">
        <v>-270.6</v>
      </c>
      <c r="S24" s="20">
        <v>-275.7</v>
      </c>
      <c r="T24" s="20">
        <v>-281</v>
      </c>
      <c r="U24" s="20">
        <v>-286.3</v>
      </c>
      <c r="V24" s="20">
        <v>-291.8</v>
      </c>
      <c r="W24" s="20">
        <v>-297.3</v>
      </c>
      <c r="X24" s="20">
        <v>-303</v>
      </c>
      <c r="Y24" s="20">
        <v>-308.7</v>
      </c>
      <c r="Z24" s="20">
        <v>-314.6</v>
      </c>
      <c r="AA24" s="20">
        <v>-320.6</v>
      </c>
      <c r="AB24" s="20">
        <v>-326.6</v>
      </c>
      <c r="AC24" s="20">
        <v>-332.9</v>
      </c>
      <c r="AD24" s="20">
        <v>-339.2</v>
      </c>
      <c r="AE24" s="21"/>
      <c r="AF24" s="20">
        <v>-205.60747663551402</v>
      </c>
      <c r="AG24" s="20">
        <v>-207.59259259259258</v>
      </c>
      <c r="AH24" s="20">
        <v>-250.98901098901098</v>
      </c>
      <c r="AI24" s="20">
        <v>-258.6666666666667</v>
      </c>
      <c r="AJ24" s="20">
        <v>-225.9047619047619</v>
      </c>
      <c r="AK24" s="20">
        <v>-228.01886792452828</v>
      </c>
      <c r="AL24" s="20">
        <v>-264.8387096774194</v>
      </c>
      <c r="AM24" s="20">
        <v>-272.82608695652175</v>
      </c>
      <c r="AN24" s="20">
        <v>-234.6788990825688</v>
      </c>
      <c r="AO24" s="20">
        <v>-236.9090909090909</v>
      </c>
      <c r="AP24" s="20">
        <v>-279.5789473684211</v>
      </c>
      <c r="AQ24" s="20">
        <v>-287.87234042553195</v>
      </c>
      <c r="AR24" s="20">
        <v>-257.66355140186914</v>
      </c>
      <c r="AS24" s="20">
        <v>-260.18518518518516</v>
      </c>
      <c r="AT24" s="20">
        <v>-314.61538461538464</v>
      </c>
      <c r="AU24" s="20">
        <v>-324.22222222222223</v>
      </c>
      <c r="AV24" s="20">
        <v>-283.14285714285717</v>
      </c>
      <c r="AW24" s="20">
        <v>-285.8490566037736</v>
      </c>
      <c r="AX24" s="20">
        <v>-331.93548387096774</v>
      </c>
      <c r="AY24" s="20">
        <v>-341.95652173913044</v>
      </c>
      <c r="AZ24" s="20">
        <v>-294.1284403669725</v>
      </c>
      <c r="BA24" s="20">
        <v>-296.9090909090909</v>
      </c>
      <c r="BB24" s="20">
        <v>-350.42105263157896</v>
      </c>
      <c r="BC24" s="20">
        <v>-360.8510638297872</v>
      </c>
    </row>
    <row r="25" ht="15" customHeight="1">
      <c r="A25" s="19" t="s">
        <v>184</v>
      </c>
      <c r="B25" s="19" t="s">
        <v>347</v>
      </c>
      <c r="C25" s="19" t="s">
        <v>348</v>
      </c>
      <c r="D25" s="19">
        <v>6110</v>
      </c>
      <c r="E25" s="19" t="s">
        <v>350</v>
      </c>
      <c r="F25" s="19" t="s">
        <v>327</v>
      </c>
      <c r="G25" s="20">
        <v>-84</v>
      </c>
      <c r="H25" s="20">
        <v>-85.6</v>
      </c>
      <c r="I25" s="20">
        <v>-87.2</v>
      </c>
      <c r="J25" s="20">
        <v>-88.9</v>
      </c>
      <c r="K25" s="20">
        <v>-90.6</v>
      </c>
      <c r="L25" s="20">
        <v>-92.3</v>
      </c>
      <c r="M25" s="20">
        <v>-94</v>
      </c>
      <c r="N25" s="20">
        <v>-95.8</v>
      </c>
      <c r="O25" s="20">
        <v>-97.7</v>
      </c>
      <c r="P25" s="20">
        <v>-99.5</v>
      </c>
      <c r="Q25" s="20">
        <v>-101.4</v>
      </c>
      <c r="R25" s="20">
        <v>-103.3</v>
      </c>
      <c r="S25" s="20">
        <v>-105.3</v>
      </c>
      <c r="T25" s="20">
        <v>-107.3</v>
      </c>
      <c r="U25" s="20">
        <v>-109.3</v>
      </c>
      <c r="V25" s="20">
        <v>-111.4</v>
      </c>
      <c r="W25" s="20">
        <v>-113.5</v>
      </c>
      <c r="X25" s="20">
        <v>-115.7</v>
      </c>
      <c r="Y25" s="20">
        <v>-117.9</v>
      </c>
      <c r="Z25" s="20">
        <v>-120.1</v>
      </c>
      <c r="AA25" s="20">
        <v>-122.4</v>
      </c>
      <c r="AB25" s="20">
        <v>-124.7</v>
      </c>
      <c r="AC25" s="20">
        <v>-127.1</v>
      </c>
      <c r="AD25" s="20">
        <v>-129.5</v>
      </c>
      <c r="AE25" s="21"/>
      <c r="AF25" s="20">
        <v>-77.77777777777777</v>
      </c>
      <c r="AG25" s="20">
        <v>-78.5321100917431</v>
      </c>
      <c r="AH25" s="20">
        <v>-96.88888888888889</v>
      </c>
      <c r="AI25" s="20">
        <v>-93.57894736842107</v>
      </c>
      <c r="AJ25" s="20">
        <v>-85.47169811320754</v>
      </c>
      <c r="AK25" s="20">
        <v>-86.26168224299064</v>
      </c>
      <c r="AL25" s="20">
        <v>-102.17391304347825</v>
      </c>
      <c r="AM25" s="20">
        <v>-105.27472527472527</v>
      </c>
      <c r="AN25" s="20">
        <v>-88.81818181818181</v>
      </c>
      <c r="AO25" s="20">
        <v>-94.76190476190476</v>
      </c>
      <c r="AP25" s="20">
        <v>-107.87234042553193</v>
      </c>
      <c r="AQ25" s="20">
        <v>-111.0752688172043</v>
      </c>
      <c r="AR25" s="20">
        <v>-97.49999999999999</v>
      </c>
      <c r="AS25" s="20">
        <v>-98.44036697247705</v>
      </c>
      <c r="AT25" s="20">
        <v>-121.44444444444444</v>
      </c>
      <c r="AU25" s="20">
        <v>-117.26315789473685</v>
      </c>
      <c r="AV25" s="20">
        <v>-107.0754716981132</v>
      </c>
      <c r="AW25" s="20">
        <v>-108.13084112149532</v>
      </c>
      <c r="AX25" s="20">
        <v>-128.15217391304347</v>
      </c>
      <c r="AY25" s="20">
        <v>-131.97802197802196</v>
      </c>
      <c r="AZ25" s="20">
        <v>-111.27272727272727</v>
      </c>
      <c r="BA25" s="20">
        <v>-118.76190476190476</v>
      </c>
      <c r="BB25" s="20">
        <v>-135.2127659574468</v>
      </c>
      <c r="BC25" s="20">
        <v>-139.247311827957</v>
      </c>
    </row>
    <row r="26" ht="15" customHeight="1">
      <c r="A26" s="19" t="s">
        <v>184</v>
      </c>
      <c r="B26" s="19" t="s">
        <v>347</v>
      </c>
      <c r="C26" s="19" t="s">
        <v>348</v>
      </c>
      <c r="D26" s="19">
        <v>6130</v>
      </c>
      <c r="E26" s="19" t="s">
        <v>351</v>
      </c>
      <c r="F26" s="19" t="s">
        <v>327</v>
      </c>
      <c r="G26" s="20">
        <v>-31</v>
      </c>
      <c r="H26" s="20">
        <v>-31.4</v>
      </c>
      <c r="I26" s="20">
        <v>-31.7</v>
      </c>
      <c r="J26" s="20">
        <v>-32.1</v>
      </c>
      <c r="K26" s="20">
        <v>-32.5</v>
      </c>
      <c r="L26" s="20">
        <v>-32.9</v>
      </c>
      <c r="M26" s="20">
        <v>-33.3</v>
      </c>
      <c r="N26" s="20">
        <v>-33.7</v>
      </c>
      <c r="O26" s="20">
        <v>-34.1</v>
      </c>
      <c r="P26" s="20">
        <v>-34.5</v>
      </c>
      <c r="Q26" s="20">
        <v>-34.9</v>
      </c>
      <c r="R26" s="20">
        <v>-35.3</v>
      </c>
      <c r="S26" s="20">
        <v>-35.8</v>
      </c>
      <c r="T26" s="20">
        <v>-36.2</v>
      </c>
      <c r="U26" s="20">
        <v>-36.6</v>
      </c>
      <c r="V26" s="20">
        <v>-37.1</v>
      </c>
      <c r="W26" s="20">
        <v>-37.5</v>
      </c>
      <c r="X26" s="20">
        <v>-38</v>
      </c>
      <c r="Y26" s="20">
        <v>-38.4</v>
      </c>
      <c r="Z26" s="20">
        <v>-38.9</v>
      </c>
      <c r="AA26" s="20">
        <v>-39.4</v>
      </c>
      <c r="AB26" s="20">
        <v>-39.8</v>
      </c>
      <c r="AC26" s="20">
        <v>-40.3</v>
      </c>
      <c r="AD26" s="20">
        <v>-40.8</v>
      </c>
      <c r="AE26" s="21"/>
      <c r="AF26" s="20">
        <v>-28.44036697247706</v>
      </c>
      <c r="AG26" s="20">
        <v>-28.545454545454543</v>
      </c>
      <c r="AH26" s="20">
        <v>-33.36842105263158</v>
      </c>
      <c r="AI26" s="20">
        <v>-34.14893617021277</v>
      </c>
      <c r="AJ26" s="20">
        <v>-30.373831775700932</v>
      </c>
      <c r="AK26" s="20">
        <v>-30.46296296296296</v>
      </c>
      <c r="AL26" s="20">
        <v>-36.59340659340659</v>
      </c>
      <c r="AM26" s="20">
        <v>-37.44444444444445</v>
      </c>
      <c r="AN26" s="20">
        <v>-32.476190476190474</v>
      </c>
      <c r="AO26" s="20">
        <v>-32.54716981132076</v>
      </c>
      <c r="AP26" s="20">
        <v>-37.52688172043011</v>
      </c>
      <c r="AQ26" s="20">
        <v>-38.3695652173913</v>
      </c>
      <c r="AR26" s="20">
        <v>-32.8440366972477</v>
      </c>
      <c r="AS26" s="20">
        <v>-32.90909090909091</v>
      </c>
      <c r="AT26" s="20">
        <v>-38.526315789473685</v>
      </c>
      <c r="AU26" s="20">
        <v>-39.46808510638298</v>
      </c>
      <c r="AV26" s="20">
        <v>-35.046728971962615</v>
      </c>
      <c r="AW26" s="20">
        <v>-35.18518518518518</v>
      </c>
      <c r="AX26" s="20">
        <v>-42.1978021978022</v>
      </c>
      <c r="AY26" s="20">
        <v>-43.22222222222222</v>
      </c>
      <c r="AZ26" s="20">
        <v>-37.52380952380952</v>
      </c>
      <c r="BA26" s="20">
        <v>-37.54716981132075</v>
      </c>
      <c r="BB26" s="20">
        <v>-43.333333333333336</v>
      </c>
      <c r="BC26" s="20">
        <v>-44.347826086956516</v>
      </c>
    </row>
    <row r="27" ht="15" customHeight="1">
      <c r="A27" s="22" t="s">
        <v>184</v>
      </c>
      <c r="B27" s="22" t="s">
        <v>347</v>
      </c>
      <c r="C27" s="22" t="s">
        <v>42</v>
      </c>
      <c r="D27" s="22" t="s">
        <v>43</v>
      </c>
      <c r="E27" s="22" t="s">
        <v>352</v>
      </c>
      <c r="F27" s="22" t="s">
        <v>327</v>
      </c>
      <c r="G27" s="23">
        <f t="shared" si="2" ref="G27:BC27">SUM(G24:G26)</f>
        <v>-335</v>
      </c>
      <c r="H27" s="23">
        <f t="shared" si="2"/>
        <v>-341.2</v>
      </c>
      <c r="I27" s="23">
        <f t="shared" si="2"/>
        <v>-347.3</v>
      </c>
      <c r="J27" s="23">
        <f t="shared" si="2"/>
        <v>-353.8</v>
      </c>
      <c r="K27" s="23">
        <f t="shared" si="2"/>
        <v>-360.3</v>
      </c>
      <c r="L27" s="23">
        <f t="shared" si="2"/>
        <v>-366.9</v>
      </c>
      <c r="M27" s="23">
        <f t="shared" si="2"/>
        <v>-373.6</v>
      </c>
      <c r="N27" s="23">
        <f t="shared" si="2"/>
        <v>-380.5</v>
      </c>
      <c r="O27" s="23">
        <f t="shared" si="2"/>
        <v>-387.6</v>
      </c>
      <c r="P27" s="23">
        <f t="shared" si="2"/>
        <v>-394.6</v>
      </c>
      <c r="Q27" s="23">
        <f t="shared" si="2"/>
        <v>-401.9</v>
      </c>
      <c r="R27" s="23">
        <f t="shared" si="2"/>
        <v>-409.2</v>
      </c>
      <c r="S27" s="23">
        <f t="shared" si="2"/>
        <v>-416.8</v>
      </c>
      <c r="T27" s="23">
        <f t="shared" si="2"/>
        <v>-424.5</v>
      </c>
      <c r="U27" s="23">
        <f t="shared" si="2"/>
        <v>-432.2</v>
      </c>
      <c r="V27" s="23">
        <f t="shared" si="2"/>
        <v>-440.3</v>
      </c>
      <c r="W27" s="23">
        <f t="shared" si="2"/>
        <v>-448.3</v>
      </c>
      <c r="X27" s="23">
        <f t="shared" si="2"/>
        <v>-456.7</v>
      </c>
      <c r="Y27" s="23">
        <f t="shared" si="2"/>
        <v>-465</v>
      </c>
      <c r="Z27" s="23">
        <f t="shared" si="2"/>
        <v>-473.6</v>
      </c>
      <c r="AA27" s="23">
        <f t="shared" si="2"/>
        <v>-482.4</v>
      </c>
      <c r="AB27" s="23">
        <f t="shared" si="2"/>
        <v>-491.1</v>
      </c>
      <c r="AC27" s="23">
        <f t="shared" si="2"/>
        <v>-500.3</v>
      </c>
      <c r="AD27" s="23">
        <f t="shared" si="2"/>
        <v>-509.5</v>
      </c>
      <c r="AE27" s="24"/>
      <c r="AF27" s="23">
        <f t="shared" si="2"/>
        <v>-311.825621385769</v>
      </c>
      <c r="AG27" s="23">
        <f t="shared" si="2"/>
        <v>-314.67015722979</v>
      </c>
      <c r="AH27" s="23">
        <f t="shared" si="2"/>
        <v>-381.246320930531</v>
      </c>
      <c r="AI27" s="23">
        <f t="shared" si="2"/>
        <v>-386.394550205301</v>
      </c>
      <c r="AJ27" s="23">
        <f t="shared" si="2"/>
        <v>-341.75029179367</v>
      </c>
      <c r="AK27" s="23">
        <f t="shared" si="2"/>
        <v>-344.743513130482</v>
      </c>
      <c r="AL27" s="23">
        <f t="shared" si="2"/>
        <v>-403.606029314304</v>
      </c>
      <c r="AM27" s="23">
        <f t="shared" si="2"/>
        <v>-415.545256675691</v>
      </c>
      <c r="AN27" s="23">
        <f t="shared" si="2"/>
        <v>-355.973271376941</v>
      </c>
      <c r="AO27" s="23">
        <f t="shared" si="2"/>
        <v>-364.218165482316</v>
      </c>
      <c r="AP27" s="23">
        <f t="shared" si="2"/>
        <v>-424.978169514383</v>
      </c>
      <c r="AQ27" s="23">
        <f t="shared" si="2"/>
        <v>-437.317174460128</v>
      </c>
      <c r="AR27" s="23">
        <f t="shared" si="2"/>
        <v>-388.007588099117</v>
      </c>
      <c r="AS27" s="23">
        <f t="shared" si="2"/>
        <v>-391.534643066753</v>
      </c>
      <c r="AT27" s="23">
        <f t="shared" si="2"/>
        <v>-474.586144849303</v>
      </c>
      <c r="AU27" s="23">
        <f t="shared" si="2"/>
        <v>-480.953465223342</v>
      </c>
      <c r="AV27" s="23">
        <f t="shared" si="2"/>
        <v>-425.265057812933</v>
      </c>
      <c r="AW27" s="23">
        <f t="shared" si="2"/>
        <v>-429.165082910454</v>
      </c>
      <c r="AX27" s="23">
        <f t="shared" si="2"/>
        <v>-502.285459981813</v>
      </c>
      <c r="AY27" s="23">
        <f t="shared" si="2"/>
        <v>-517.156765939375</v>
      </c>
      <c r="AZ27" s="23">
        <f t="shared" si="2"/>
        <v>-442.924977163509</v>
      </c>
      <c r="BA27" s="23">
        <f t="shared" si="2"/>
        <v>-453.218165482316</v>
      </c>
      <c r="BB27" s="23">
        <f t="shared" si="2"/>
        <v>-528.967151922359</v>
      </c>
      <c r="BC27" s="23">
        <f t="shared" si="2"/>
        <v>-544.446201744701</v>
      </c>
    </row>
    <row r="28" ht="15" customHeight="1">
      <c r="A28" s="19" t="s">
        <v>45</v>
      </c>
      <c r="B28" s="19" t="s">
        <v>45</v>
      </c>
      <c r="C28" s="19" t="s">
        <v>45</v>
      </c>
      <c r="D28" s="19" t="s">
        <v>45</v>
      </c>
      <c r="E28" s="19" t="s">
        <v>45</v>
      </c>
      <c r="F28" s="19" t="s">
        <v>45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1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</row>
    <row r="29" ht="15" customHeight="1">
      <c r="A29" s="19" t="s">
        <v>184</v>
      </c>
      <c r="B29" s="19" t="s">
        <v>353</v>
      </c>
      <c r="C29" s="19" t="s">
        <v>354</v>
      </c>
      <c r="D29" s="19">
        <v>6200</v>
      </c>
      <c r="E29" s="19" t="s">
        <v>355</v>
      </c>
      <c r="F29" s="19" t="s">
        <v>327</v>
      </c>
      <c r="G29" s="20">
        <v>-76</v>
      </c>
      <c r="H29" s="20">
        <v>-77.4</v>
      </c>
      <c r="I29" s="20">
        <v>-78.9</v>
      </c>
      <c r="J29" s="20">
        <v>-80.4</v>
      </c>
      <c r="K29" s="20">
        <v>-81.9</v>
      </c>
      <c r="L29" s="20">
        <v>-83.5</v>
      </c>
      <c r="M29" s="20">
        <v>-85.1</v>
      </c>
      <c r="N29" s="20">
        <v>-86.7</v>
      </c>
      <c r="O29" s="20">
        <v>-88.4</v>
      </c>
      <c r="P29" s="20">
        <v>-90</v>
      </c>
      <c r="Q29" s="20">
        <v>-91.7</v>
      </c>
      <c r="R29" s="20">
        <v>-93.5</v>
      </c>
      <c r="S29" s="20">
        <v>-95.3</v>
      </c>
      <c r="T29" s="20">
        <v>-97.1</v>
      </c>
      <c r="U29" s="20">
        <v>-98.9</v>
      </c>
      <c r="V29" s="20">
        <v>-100.8</v>
      </c>
      <c r="W29" s="20">
        <v>-102.7</v>
      </c>
      <c r="X29" s="20">
        <v>-104.7</v>
      </c>
      <c r="Y29" s="20">
        <v>-106.6</v>
      </c>
      <c r="Z29" s="20">
        <v>-108.7</v>
      </c>
      <c r="AA29" s="20">
        <v>-110.7</v>
      </c>
      <c r="AB29" s="20">
        <v>-112.8</v>
      </c>
      <c r="AC29" s="20">
        <v>-115</v>
      </c>
      <c r="AD29" s="20">
        <v>-117.2</v>
      </c>
      <c r="AE29" s="21"/>
      <c r="AF29" s="20">
        <v>-71.69811320754717</v>
      </c>
      <c r="AG29" s="20">
        <v>-72.33644859813084</v>
      </c>
      <c r="AH29" s="20">
        <v>-85.76086956521739</v>
      </c>
      <c r="AI29" s="20">
        <v>-88.35164835164835</v>
      </c>
      <c r="AJ29" s="20">
        <v>-74.45454545454545</v>
      </c>
      <c r="AK29" s="20">
        <v>-79.52380952380952</v>
      </c>
      <c r="AL29" s="20">
        <v>-90.53191489361701</v>
      </c>
      <c r="AM29" s="20">
        <v>-93.22580645161291</v>
      </c>
      <c r="AN29" s="20">
        <v>-81.85185185185185</v>
      </c>
      <c r="AO29" s="20">
        <v>-82.56880733944953</v>
      </c>
      <c r="AP29" s="20">
        <v>-101.88888888888889</v>
      </c>
      <c r="AQ29" s="20">
        <v>-98.42105263157895</v>
      </c>
      <c r="AR29" s="20">
        <v>-89.90566037735849</v>
      </c>
      <c r="AS29" s="20">
        <v>-90.74766355140186</v>
      </c>
      <c r="AT29" s="20">
        <v>-107.5</v>
      </c>
      <c r="AU29" s="20">
        <v>-110.76923076923076</v>
      </c>
      <c r="AV29" s="20">
        <v>-93.36363636363636</v>
      </c>
      <c r="AW29" s="20">
        <v>-99.71428571428571</v>
      </c>
      <c r="AX29" s="20">
        <v>-113.40425531914893</v>
      </c>
      <c r="AY29" s="20">
        <v>-116.88172043010753</v>
      </c>
      <c r="AZ29" s="20">
        <v>-102.5</v>
      </c>
      <c r="BA29" s="20">
        <v>-103.48623853211008</v>
      </c>
      <c r="BB29" s="20">
        <v>-127.77777777777777</v>
      </c>
      <c r="BC29" s="20">
        <v>-123.36842105263159</v>
      </c>
    </row>
    <row r="30" ht="15" customHeight="1">
      <c r="A30" s="19" t="s">
        <v>184</v>
      </c>
      <c r="B30" s="19" t="s">
        <v>353</v>
      </c>
      <c r="C30" s="19" t="s">
        <v>354</v>
      </c>
      <c r="D30" s="19">
        <v>6210</v>
      </c>
      <c r="E30" s="19" t="s">
        <v>356</v>
      </c>
      <c r="F30" s="19" t="s">
        <v>327</v>
      </c>
      <c r="G30" s="20">
        <v>-43</v>
      </c>
      <c r="H30" s="20">
        <v>-43.8</v>
      </c>
      <c r="I30" s="20">
        <v>-44.6</v>
      </c>
      <c r="J30" s="20">
        <v>-45.5</v>
      </c>
      <c r="K30" s="20">
        <v>-46.4</v>
      </c>
      <c r="L30" s="20">
        <v>-47.2</v>
      </c>
      <c r="M30" s="20">
        <v>-48.1</v>
      </c>
      <c r="N30" s="20">
        <v>-49.1</v>
      </c>
      <c r="O30" s="20">
        <v>-50</v>
      </c>
      <c r="P30" s="20">
        <v>-50.9</v>
      </c>
      <c r="Q30" s="20">
        <v>-51.9</v>
      </c>
      <c r="R30" s="20">
        <v>-52.9</v>
      </c>
      <c r="S30" s="20">
        <v>-53.9</v>
      </c>
      <c r="T30" s="20">
        <v>-54.9</v>
      </c>
      <c r="U30" s="20">
        <v>-56</v>
      </c>
      <c r="V30" s="20">
        <v>-57</v>
      </c>
      <c r="W30" s="20">
        <v>-58.1</v>
      </c>
      <c r="X30" s="20">
        <v>-59.2</v>
      </c>
      <c r="Y30" s="20">
        <v>-60.3</v>
      </c>
      <c r="Z30" s="20">
        <v>-61.5</v>
      </c>
      <c r="AA30" s="20">
        <v>-62.7</v>
      </c>
      <c r="AB30" s="20">
        <v>-63.8</v>
      </c>
      <c r="AC30" s="20">
        <v>-65.1</v>
      </c>
      <c r="AD30" s="20">
        <v>-66.3</v>
      </c>
      <c r="AE30" s="21"/>
      <c r="AF30" s="20">
        <v>-40.18691588785047</v>
      </c>
      <c r="AG30" s="20">
        <v>-40.55555555555555</v>
      </c>
      <c r="AH30" s="20">
        <v>-49.01098901098901</v>
      </c>
      <c r="AI30" s="20">
        <v>-50.55555555555556</v>
      </c>
      <c r="AJ30" s="20">
        <v>-44.19047619047619</v>
      </c>
      <c r="AK30" s="20">
        <v>-44.528301886792455</v>
      </c>
      <c r="AL30" s="20">
        <v>-51.72043010752689</v>
      </c>
      <c r="AM30" s="20">
        <v>-53.369565217391305</v>
      </c>
      <c r="AN30" s="20">
        <v>-45.871559633027516</v>
      </c>
      <c r="AO30" s="20">
        <v>-46.272727272727266</v>
      </c>
      <c r="AP30" s="20">
        <v>-54.631578947368425</v>
      </c>
      <c r="AQ30" s="20">
        <v>-56.276595744680854</v>
      </c>
      <c r="AR30" s="20">
        <v>-50.37383177570093</v>
      </c>
      <c r="AS30" s="20">
        <v>-50.83333333333333</v>
      </c>
      <c r="AT30" s="20">
        <v>-61.53846153846153</v>
      </c>
      <c r="AU30" s="20">
        <v>-63.33333333333333</v>
      </c>
      <c r="AV30" s="20">
        <v>-55.333333333333336</v>
      </c>
      <c r="AW30" s="20">
        <v>-55.84905660377358</v>
      </c>
      <c r="AX30" s="20">
        <v>-64.83870967741936</v>
      </c>
      <c r="AY30" s="20">
        <v>-66.84782608695652</v>
      </c>
      <c r="AZ30" s="20">
        <v>-57.522935779816514</v>
      </c>
      <c r="BA30" s="20">
        <v>-57.99999999999999</v>
      </c>
      <c r="BB30" s="20">
        <v>-68.52631578947368</v>
      </c>
      <c r="BC30" s="20">
        <v>-70.53191489361703</v>
      </c>
    </row>
    <row r="31" ht="15" customHeight="1">
      <c r="A31" s="19" t="s">
        <v>184</v>
      </c>
      <c r="B31" s="19" t="s">
        <v>353</v>
      </c>
      <c r="C31" s="19" t="s">
        <v>354</v>
      </c>
      <c r="D31" s="19">
        <v>6220</v>
      </c>
      <c r="E31" s="19" t="s">
        <v>357</v>
      </c>
      <c r="F31" s="19" t="s">
        <v>327</v>
      </c>
      <c r="G31" s="20">
        <v>-58</v>
      </c>
      <c r="H31" s="20">
        <v>-58.7</v>
      </c>
      <c r="I31" s="20">
        <v>-59.4</v>
      </c>
      <c r="J31" s="20">
        <v>-60.1</v>
      </c>
      <c r="K31" s="20">
        <v>-60.8</v>
      </c>
      <c r="L31" s="20">
        <v>-61.6</v>
      </c>
      <c r="M31" s="20">
        <v>-62.3</v>
      </c>
      <c r="N31" s="20">
        <v>-63.1</v>
      </c>
      <c r="O31" s="20">
        <v>-63.8</v>
      </c>
      <c r="P31" s="20">
        <v>-64.6</v>
      </c>
      <c r="Q31" s="20">
        <v>-65.3</v>
      </c>
      <c r="R31" s="20">
        <v>-66.1</v>
      </c>
      <c r="S31" s="20">
        <v>-66.9</v>
      </c>
      <c r="T31" s="20">
        <v>-67.7</v>
      </c>
      <c r="U31" s="20">
        <v>-68.5</v>
      </c>
      <c r="V31" s="20">
        <v>-69.4</v>
      </c>
      <c r="W31" s="20">
        <v>-70.2</v>
      </c>
      <c r="X31" s="20">
        <v>-71</v>
      </c>
      <c r="Y31" s="20">
        <v>-71.9</v>
      </c>
      <c r="Z31" s="20">
        <v>-72.8</v>
      </c>
      <c r="AA31" s="20">
        <v>-73.6</v>
      </c>
      <c r="AB31" s="20">
        <v>-74.5</v>
      </c>
      <c r="AC31" s="20">
        <v>-75.4</v>
      </c>
      <c r="AD31" s="20">
        <v>-76.3</v>
      </c>
      <c r="AE31" s="21"/>
      <c r="AF31" s="20">
        <v>-53.7037037037037</v>
      </c>
      <c r="AG31" s="20">
        <v>-53.85321100917431</v>
      </c>
      <c r="AH31" s="20">
        <v>-66</v>
      </c>
      <c r="AI31" s="20">
        <v>-63.26315789473685</v>
      </c>
      <c r="AJ31" s="20">
        <v>-57.35849056603773</v>
      </c>
      <c r="AK31" s="20">
        <v>-57.570093457943926</v>
      </c>
      <c r="AL31" s="20">
        <v>-67.71739130434781</v>
      </c>
      <c r="AM31" s="20">
        <v>-69.34065934065934</v>
      </c>
      <c r="AN31" s="20">
        <v>-57.99999999999999</v>
      </c>
      <c r="AO31" s="20">
        <v>-61.52380952380952</v>
      </c>
      <c r="AP31" s="20">
        <v>-69.46808510638299</v>
      </c>
      <c r="AQ31" s="20">
        <v>-71.0752688172043</v>
      </c>
      <c r="AR31" s="20">
        <v>-61.94444444444444</v>
      </c>
      <c r="AS31" s="20">
        <v>-62.11009174311926</v>
      </c>
      <c r="AT31" s="20">
        <v>-76.11111111111111</v>
      </c>
      <c r="AU31" s="20">
        <v>-73.05263157894738</v>
      </c>
      <c r="AV31" s="20">
        <v>-66.22641509433963</v>
      </c>
      <c r="AW31" s="20">
        <v>-66.35514018691589</v>
      </c>
      <c r="AX31" s="20">
        <v>-78.15217391304348</v>
      </c>
      <c r="AY31" s="20">
        <v>-80</v>
      </c>
      <c r="AZ31" s="20">
        <v>-66.90909090909089</v>
      </c>
      <c r="BA31" s="20">
        <v>-70.95238095238095</v>
      </c>
      <c r="BB31" s="20">
        <v>-80.21276595744682</v>
      </c>
      <c r="BC31" s="20">
        <v>-82.04301075268818</v>
      </c>
    </row>
    <row r="32" ht="15" customHeight="1">
      <c r="A32" s="19" t="s">
        <v>184</v>
      </c>
      <c r="B32" s="19" t="s">
        <v>353</v>
      </c>
      <c r="C32" s="19" t="s">
        <v>354</v>
      </c>
      <c r="D32" s="19">
        <v>6230</v>
      </c>
      <c r="E32" s="19" t="s">
        <v>358</v>
      </c>
      <c r="F32" s="19" t="s">
        <v>327</v>
      </c>
      <c r="G32" s="20">
        <v>-28.4</v>
      </c>
      <c r="H32" s="20">
        <v>-29.1</v>
      </c>
      <c r="I32" s="20">
        <v>-30</v>
      </c>
      <c r="J32" s="20">
        <v>-30.1</v>
      </c>
      <c r="K32" s="20">
        <v>-31</v>
      </c>
      <c r="L32" s="20">
        <v>-31.7</v>
      </c>
      <c r="M32" s="20">
        <v>-30.8</v>
      </c>
      <c r="N32" s="20">
        <v>-30.6</v>
      </c>
      <c r="O32" s="20">
        <v>-32.2</v>
      </c>
      <c r="P32" s="20">
        <v>-32.9</v>
      </c>
      <c r="Q32" s="20">
        <v>-34.3</v>
      </c>
      <c r="R32" s="20">
        <v>-36.4</v>
      </c>
      <c r="S32" s="20">
        <v>-32.8</v>
      </c>
      <c r="T32" s="20">
        <v>-33.5</v>
      </c>
      <c r="U32" s="20">
        <v>-34.6</v>
      </c>
      <c r="V32" s="20">
        <v>-34.7</v>
      </c>
      <c r="W32" s="20">
        <v>-35.8</v>
      </c>
      <c r="X32" s="20">
        <v>-36.6</v>
      </c>
      <c r="Y32" s="20">
        <v>-35.6</v>
      </c>
      <c r="Z32" s="20">
        <v>-35.3</v>
      </c>
      <c r="AA32" s="20">
        <v>-37.2</v>
      </c>
      <c r="AB32" s="20">
        <v>-38</v>
      </c>
      <c r="AC32" s="20">
        <v>-39.6</v>
      </c>
      <c r="AD32" s="20">
        <v>-42</v>
      </c>
      <c r="AE32" s="21"/>
      <c r="AF32" s="20">
        <v>-26.05504587155963</v>
      </c>
      <c r="AG32" s="20">
        <v>-26.454545454545453</v>
      </c>
      <c r="AH32" s="20">
        <v>-31.578947368421055</v>
      </c>
      <c r="AI32" s="20">
        <v>-32.02127659574469</v>
      </c>
      <c r="AJ32" s="20">
        <v>-28.971962616822427</v>
      </c>
      <c r="AK32" s="20">
        <v>-29.351851851851848</v>
      </c>
      <c r="AL32" s="20">
        <v>-33.84615384615385</v>
      </c>
      <c r="AM32" s="20">
        <v>-34</v>
      </c>
      <c r="AN32" s="20">
        <v>-30.666666666666668</v>
      </c>
      <c r="AO32" s="20">
        <v>-31.037735849056602</v>
      </c>
      <c r="AP32" s="20">
        <v>-36.88172043010753</v>
      </c>
      <c r="AQ32" s="20">
        <v>-39.565217391304344</v>
      </c>
      <c r="AR32" s="20">
        <v>-30.09174311926605</v>
      </c>
      <c r="AS32" s="20">
        <v>-30.454545454545453</v>
      </c>
      <c r="AT32" s="20">
        <v>-36.42105263157895</v>
      </c>
      <c r="AU32" s="20">
        <v>-36.914893617021285</v>
      </c>
      <c r="AV32" s="20">
        <v>-33.45794392523364</v>
      </c>
      <c r="AW32" s="20">
        <v>-33.888888888888886</v>
      </c>
      <c r="AX32" s="20">
        <v>-39.120879120879124</v>
      </c>
      <c r="AY32" s="20">
        <v>-39.22222222222222</v>
      </c>
      <c r="AZ32" s="20">
        <v>-35.42857142857143</v>
      </c>
      <c r="BA32" s="20">
        <v>-35.84905660377358</v>
      </c>
      <c r="BB32" s="20">
        <v>-42.58064516129033</v>
      </c>
      <c r="BC32" s="20">
        <v>-45.65217391304348</v>
      </c>
    </row>
    <row r="33" ht="15" customHeight="1">
      <c r="A33" s="19" t="s">
        <v>184</v>
      </c>
      <c r="B33" s="19" t="s">
        <v>353</v>
      </c>
      <c r="C33" s="19" t="s">
        <v>354</v>
      </c>
      <c r="D33" s="19">
        <v>6240</v>
      </c>
      <c r="E33" s="19" t="s">
        <v>359</v>
      </c>
      <c r="F33" s="19" t="s">
        <v>327</v>
      </c>
      <c r="G33" s="20">
        <v>-66</v>
      </c>
      <c r="H33" s="20">
        <v>-67.3</v>
      </c>
      <c r="I33" s="20">
        <v>-68.5</v>
      </c>
      <c r="J33" s="20">
        <v>-69.8</v>
      </c>
      <c r="K33" s="20">
        <v>-71.2</v>
      </c>
      <c r="L33" s="20">
        <v>-72.5</v>
      </c>
      <c r="M33" s="20">
        <v>-73.9</v>
      </c>
      <c r="N33" s="20">
        <v>-75.3</v>
      </c>
      <c r="O33" s="20">
        <v>-76.7</v>
      </c>
      <c r="P33" s="20">
        <v>-78.2</v>
      </c>
      <c r="Q33" s="20">
        <v>-79.7</v>
      </c>
      <c r="R33" s="20">
        <v>-81.2</v>
      </c>
      <c r="S33" s="20">
        <v>-82.7</v>
      </c>
      <c r="T33" s="20">
        <v>-84.3</v>
      </c>
      <c r="U33" s="20">
        <v>-85.9</v>
      </c>
      <c r="V33" s="20">
        <v>-87.5</v>
      </c>
      <c r="W33" s="20">
        <v>-89.2</v>
      </c>
      <c r="X33" s="20">
        <v>-90.9</v>
      </c>
      <c r="Y33" s="20">
        <v>-92.6</v>
      </c>
      <c r="Z33" s="20">
        <v>-94.4</v>
      </c>
      <c r="AA33" s="20">
        <v>-96.2</v>
      </c>
      <c r="AB33" s="20">
        <v>-98</v>
      </c>
      <c r="AC33" s="20">
        <v>-99.9</v>
      </c>
      <c r="AD33" s="20">
        <v>-101.8</v>
      </c>
      <c r="AE33" s="21"/>
      <c r="AF33" s="20">
        <v>-59.99999999999999</v>
      </c>
      <c r="AG33" s="20">
        <v>-64.09523809523809</v>
      </c>
      <c r="AH33" s="20">
        <v>-72.87234042553192</v>
      </c>
      <c r="AI33" s="20">
        <v>-75.05376344086022</v>
      </c>
      <c r="AJ33" s="20">
        <v>-65.92592592592592</v>
      </c>
      <c r="AK33" s="20">
        <v>-66.5137614678899</v>
      </c>
      <c r="AL33" s="20">
        <v>-82.11111111111111</v>
      </c>
      <c r="AM33" s="20">
        <v>-79.26315789473685</v>
      </c>
      <c r="AN33" s="20">
        <v>-72.35849056603773</v>
      </c>
      <c r="AO33" s="20">
        <v>-73.08411214953271</v>
      </c>
      <c r="AP33" s="20">
        <v>-86.63043478260869</v>
      </c>
      <c r="AQ33" s="20">
        <v>-89.23076923076923</v>
      </c>
      <c r="AR33" s="20">
        <v>-75.18181818181817</v>
      </c>
      <c r="AS33" s="20">
        <v>-80.28571428571428</v>
      </c>
      <c r="AT33" s="20">
        <v>-91.38297872340426</v>
      </c>
      <c r="AU33" s="20">
        <v>-94.08602150537635</v>
      </c>
      <c r="AV33" s="20">
        <v>-82.5925925925926</v>
      </c>
      <c r="AW33" s="20">
        <v>-83.39449541284404</v>
      </c>
      <c r="AX33" s="20">
        <v>-102.88888888888889</v>
      </c>
      <c r="AY33" s="20">
        <v>-99.36842105263159</v>
      </c>
      <c r="AZ33" s="20">
        <v>-90.75471698113208</v>
      </c>
      <c r="BA33" s="20">
        <v>-91.58878504672897</v>
      </c>
      <c r="BB33" s="20">
        <v>-108.58695652173913</v>
      </c>
      <c r="BC33" s="20">
        <v>-111.86813186813185</v>
      </c>
    </row>
    <row r="34" ht="15" customHeight="1">
      <c r="A34" s="22" t="s">
        <v>184</v>
      </c>
      <c r="B34" s="22" t="s">
        <v>353</v>
      </c>
      <c r="C34" s="22" t="s">
        <v>42</v>
      </c>
      <c r="D34" s="22" t="s">
        <v>43</v>
      </c>
      <c r="E34" s="22" t="s">
        <v>360</v>
      </c>
      <c r="F34" s="22" t="s">
        <v>327</v>
      </c>
      <c r="G34" s="23">
        <f t="shared" si="1"/>
        <v>-271.4</v>
      </c>
      <c r="H34" s="23">
        <f t="shared" si="1"/>
        <v>-276.3</v>
      </c>
      <c r="I34" s="23">
        <f t="shared" si="1"/>
        <v>-281.4</v>
      </c>
      <c r="J34" s="23">
        <f t="shared" si="1"/>
        <v>-285.9</v>
      </c>
      <c r="K34" s="23">
        <f t="shared" si="1"/>
        <v>-291.3</v>
      </c>
      <c r="L34" s="23">
        <f t="shared" si="1"/>
        <v>-296.5</v>
      </c>
      <c r="M34" s="23">
        <f t="shared" si="1"/>
        <v>-300.2</v>
      </c>
      <c r="N34" s="23">
        <f t="shared" si="1"/>
        <v>-304.8</v>
      </c>
      <c r="O34" s="23">
        <f t="shared" si="1"/>
        <v>-311.1</v>
      </c>
      <c r="P34" s="23">
        <f t="shared" si="1"/>
        <v>-316.6</v>
      </c>
      <c r="Q34" s="23">
        <f t="shared" si="1"/>
        <v>-322.9</v>
      </c>
      <c r="R34" s="23">
        <f t="shared" si="1"/>
        <v>-330.1</v>
      </c>
      <c r="S34" s="23">
        <f t="shared" si="1"/>
        <v>-331.6</v>
      </c>
      <c r="T34" s="23">
        <f t="shared" si="1"/>
        <v>-337.5</v>
      </c>
      <c r="U34" s="23">
        <f t="shared" si="1"/>
        <v>-343.9</v>
      </c>
      <c r="V34" s="23">
        <f t="shared" si="1"/>
        <v>-349.4</v>
      </c>
      <c r="W34" s="23">
        <f t="shared" si="1"/>
        <v>-356</v>
      </c>
      <c r="X34" s="23">
        <f t="shared" si="1"/>
        <v>-362.4</v>
      </c>
      <c r="Y34" s="23">
        <f t="shared" si="1"/>
        <v>-367</v>
      </c>
      <c r="Z34" s="23">
        <f t="shared" si="1"/>
        <v>-372.7</v>
      </c>
      <c r="AA34" s="23">
        <f t="shared" si="1"/>
        <v>-380.4</v>
      </c>
      <c r="AB34" s="23">
        <f t="shared" si="1"/>
        <v>-387.1</v>
      </c>
      <c r="AC34" s="23">
        <f t="shared" si="1"/>
        <v>-395</v>
      </c>
      <c r="AD34" s="23">
        <f t="shared" si="1"/>
        <v>-403.6</v>
      </c>
      <c r="AE34" s="24"/>
      <c r="AF34" s="23">
        <f t="shared" si="1"/>
        <v>-251.643778670661</v>
      </c>
      <c r="AG34" s="23">
        <f t="shared" si="1"/>
        <v>-257.294998712644</v>
      </c>
      <c r="AH34" s="23">
        <f t="shared" si="1"/>
        <v>-305.223146370159</v>
      </c>
      <c r="AI34" s="23">
        <f t="shared" si="1"/>
        <v>-309.245401838546</v>
      </c>
      <c r="AJ34" s="23">
        <f t="shared" si="1"/>
        <v>-270.901400753808</v>
      </c>
      <c r="AK34" s="23">
        <f t="shared" si="1"/>
        <v>-277.487818188288</v>
      </c>
      <c r="AL34" s="23">
        <f t="shared" si="1"/>
        <v>-325.927001262757</v>
      </c>
      <c r="AM34" s="23">
        <f t="shared" si="1"/>
        <v>-329.1991889044</v>
      </c>
      <c r="AN34" s="23">
        <f t="shared" si="1"/>
        <v>-288.748568717584</v>
      </c>
      <c r="AO34" s="23">
        <f t="shared" si="1"/>
        <v>-294.487192134576</v>
      </c>
      <c r="AP34" s="23">
        <f t="shared" si="1"/>
        <v>-349.500708155357</v>
      </c>
      <c r="AQ34" s="23">
        <f t="shared" si="1"/>
        <v>-354.568903815538</v>
      </c>
      <c r="AR34" s="23">
        <f t="shared" si="1"/>
        <v>-307.497497898588</v>
      </c>
      <c r="AS34" s="23">
        <f t="shared" si="1"/>
        <v>-314.431348368114</v>
      </c>
      <c r="AT34" s="23">
        <f t="shared" si="1"/>
        <v>-372.953604004556</v>
      </c>
      <c r="AU34" s="23">
        <f t="shared" si="1"/>
        <v>-378.156110803909</v>
      </c>
      <c r="AV34" s="23">
        <f t="shared" si="1"/>
        <v>-330.973921309136</v>
      </c>
      <c r="AW34" s="23">
        <f t="shared" si="1"/>
        <v>-339.201866806708</v>
      </c>
      <c r="AX34" s="23">
        <f t="shared" si="1"/>
        <v>-398.40490691938</v>
      </c>
      <c r="AY34" s="23">
        <f t="shared" si="1"/>
        <v>-402.320189791918</v>
      </c>
      <c r="AZ34" s="23">
        <f t="shared" si="1"/>
        <v>-353.115315098611</v>
      </c>
      <c r="BA34" s="23">
        <f t="shared" si="1"/>
        <v>-359.876461134994</v>
      </c>
      <c r="BB34" s="23">
        <f t="shared" si="1"/>
        <v>-427.684461207728</v>
      </c>
      <c r="BC34" s="23">
        <f t="shared" si="1"/>
        <v>-433.463652480112</v>
      </c>
    </row>
    <row r="35" ht="15" customHeight="1">
      <c r="A35" s="19" t="s">
        <v>45</v>
      </c>
      <c r="B35" s="19" t="s">
        <v>45</v>
      </c>
      <c r="C35" s="19" t="s">
        <v>45</v>
      </c>
      <c r="D35" s="19" t="s">
        <v>45</v>
      </c>
      <c r="E35" s="19" t="s">
        <v>45</v>
      </c>
      <c r="F35" s="19" t="s">
        <v>45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1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</row>
    <row r="36" ht="15" customHeight="1">
      <c r="A36" s="19" t="s">
        <v>184</v>
      </c>
      <c r="B36" s="19" t="s">
        <v>361</v>
      </c>
      <c r="C36" s="19" t="s">
        <v>362</v>
      </c>
      <c r="D36" s="19">
        <v>7000</v>
      </c>
      <c r="E36" s="19" t="s">
        <v>363</v>
      </c>
      <c r="F36" s="19" t="s">
        <v>327</v>
      </c>
      <c r="G36" s="20">
        <v>-18</v>
      </c>
      <c r="H36" s="20">
        <v>-18.2</v>
      </c>
      <c r="I36" s="20">
        <v>-18.4</v>
      </c>
      <c r="J36" s="20">
        <v>-18.5</v>
      </c>
      <c r="K36" s="20">
        <v>-18.7</v>
      </c>
      <c r="L36" s="20">
        <v>-18.9</v>
      </c>
      <c r="M36" s="20">
        <v>-19.1</v>
      </c>
      <c r="N36" s="20">
        <v>-19.3</v>
      </c>
      <c r="O36" s="20">
        <v>-19.5</v>
      </c>
      <c r="P36" s="20">
        <v>-19.7</v>
      </c>
      <c r="Q36" s="20">
        <v>-19.9</v>
      </c>
      <c r="R36" s="20">
        <v>-20.1</v>
      </c>
      <c r="S36" s="20">
        <v>-20.3</v>
      </c>
      <c r="T36" s="20">
        <v>-20.5</v>
      </c>
      <c r="U36" s="20">
        <v>-20.7</v>
      </c>
      <c r="V36" s="20">
        <v>-20.9</v>
      </c>
      <c r="W36" s="20">
        <v>-21.1</v>
      </c>
      <c r="X36" s="20">
        <v>-21.3</v>
      </c>
      <c r="Y36" s="20">
        <v>-21.5</v>
      </c>
      <c r="Z36" s="20">
        <v>-21.7</v>
      </c>
      <c r="AA36" s="20">
        <v>-22</v>
      </c>
      <c r="AB36" s="20">
        <v>-22.2</v>
      </c>
      <c r="AC36" s="20">
        <v>-22.4</v>
      </c>
      <c r="AD36" s="20">
        <v>-22.6</v>
      </c>
      <c r="AE36" s="21"/>
      <c r="AF36" s="20">
        <v>-16.822429906542055</v>
      </c>
      <c r="AG36" s="20">
        <v>-16.85185185185185</v>
      </c>
      <c r="AH36" s="20">
        <v>-20.21978021978022</v>
      </c>
      <c r="AI36" s="20">
        <v>-20.555555555555554</v>
      </c>
      <c r="AJ36" s="20">
        <v>-17.809523809523807</v>
      </c>
      <c r="AK36" s="20">
        <v>-17.830188679245282</v>
      </c>
      <c r="AL36" s="20">
        <v>-20.537634408602152</v>
      </c>
      <c r="AM36" s="20">
        <v>-20.97826086956522</v>
      </c>
      <c r="AN36" s="20">
        <v>-17.889908256880734</v>
      </c>
      <c r="AO36" s="20">
        <v>-17.909090909090907</v>
      </c>
      <c r="AP36" s="20">
        <v>-20.94736842105263</v>
      </c>
      <c r="AQ36" s="20">
        <v>-21.382978723404257</v>
      </c>
      <c r="AR36" s="20">
        <v>-18.97196261682243</v>
      </c>
      <c r="AS36" s="20">
        <v>-18.98148148148148</v>
      </c>
      <c r="AT36" s="20">
        <v>-22.747252747252745</v>
      </c>
      <c r="AU36" s="20">
        <v>-23.22222222222222</v>
      </c>
      <c r="AV36" s="20">
        <v>-20.095238095238095</v>
      </c>
      <c r="AW36" s="20">
        <v>-20.09433962264151</v>
      </c>
      <c r="AX36" s="20">
        <v>-23.118279569892476</v>
      </c>
      <c r="AY36" s="20">
        <v>-23.58695652173913</v>
      </c>
      <c r="AZ36" s="20">
        <v>-20.183486238532108</v>
      </c>
      <c r="BA36" s="20">
        <v>-20.18181818181818</v>
      </c>
      <c r="BB36" s="20">
        <v>-23.57894736842105</v>
      </c>
      <c r="BC36" s="20">
        <v>-24.042553191489365</v>
      </c>
    </row>
    <row r="37" ht="15" customHeight="1">
      <c r="A37" s="19" t="s">
        <v>184</v>
      </c>
      <c r="B37" s="19" t="s">
        <v>361</v>
      </c>
      <c r="C37" s="19" t="s">
        <v>362</v>
      </c>
      <c r="D37" s="19">
        <v>7100</v>
      </c>
      <c r="E37" s="19" t="s">
        <v>364</v>
      </c>
      <c r="F37" s="19" t="s">
        <v>327</v>
      </c>
      <c r="G37" s="20">
        <v>-11</v>
      </c>
      <c r="H37" s="20">
        <v>-11.1</v>
      </c>
      <c r="I37" s="20">
        <v>-11.2</v>
      </c>
      <c r="J37" s="20">
        <v>-11.3</v>
      </c>
      <c r="K37" s="20">
        <v>-11.4</v>
      </c>
      <c r="L37" s="20">
        <v>-11.6</v>
      </c>
      <c r="M37" s="20">
        <v>-11.7</v>
      </c>
      <c r="N37" s="20">
        <v>-11.8</v>
      </c>
      <c r="O37" s="20">
        <v>-11.9</v>
      </c>
      <c r="P37" s="20">
        <v>-12</v>
      </c>
      <c r="Q37" s="20">
        <v>-12.2</v>
      </c>
      <c r="R37" s="20">
        <v>-12.3</v>
      </c>
      <c r="S37" s="20">
        <v>-12.4</v>
      </c>
      <c r="T37" s="20">
        <v>-12.5</v>
      </c>
      <c r="U37" s="20">
        <v>-12.6</v>
      </c>
      <c r="V37" s="20">
        <v>-12.8</v>
      </c>
      <c r="W37" s="20">
        <v>-12.9</v>
      </c>
      <c r="X37" s="20">
        <v>-13</v>
      </c>
      <c r="Y37" s="20">
        <v>-13.2</v>
      </c>
      <c r="Z37" s="20">
        <v>-13.3</v>
      </c>
      <c r="AA37" s="20">
        <v>-13.4</v>
      </c>
      <c r="AB37" s="20">
        <v>-13.6</v>
      </c>
      <c r="AC37" s="20">
        <v>-13.7</v>
      </c>
      <c r="AD37" s="20">
        <v>-13.8</v>
      </c>
      <c r="AE37" s="21"/>
      <c r="AF37" s="20">
        <v>-10.185185185185185</v>
      </c>
      <c r="AG37" s="20">
        <v>-10.18348623853211</v>
      </c>
      <c r="AH37" s="20">
        <v>-12.444444444444443</v>
      </c>
      <c r="AI37" s="20">
        <v>-11.894736842105264</v>
      </c>
      <c r="AJ37" s="20">
        <v>-10.754716981132075</v>
      </c>
      <c r="AK37" s="20">
        <v>-10.841121495327101</v>
      </c>
      <c r="AL37" s="20">
        <v>-12.717391304347824</v>
      </c>
      <c r="AM37" s="20">
        <v>-12.967032967032967</v>
      </c>
      <c r="AN37" s="20">
        <v>-10.818181818181818</v>
      </c>
      <c r="AO37" s="20">
        <v>-11.428571428571429</v>
      </c>
      <c r="AP37" s="20">
        <v>-12.97872340425532</v>
      </c>
      <c r="AQ37" s="20">
        <v>-13.225806451612906</v>
      </c>
      <c r="AR37" s="20">
        <v>-11.481481481481481</v>
      </c>
      <c r="AS37" s="20">
        <v>-11.467889908256879</v>
      </c>
      <c r="AT37" s="20">
        <v>-14</v>
      </c>
      <c r="AU37" s="20">
        <v>-13.473684210526317</v>
      </c>
      <c r="AV37" s="20">
        <v>-12.169811320754716</v>
      </c>
      <c r="AW37" s="20">
        <v>-12.149532710280374</v>
      </c>
      <c r="AX37" s="20">
        <v>-14.34782608695652</v>
      </c>
      <c r="AY37" s="20">
        <v>-14.615384615384615</v>
      </c>
      <c r="AZ37" s="20">
        <v>-12.181818181818182</v>
      </c>
      <c r="BA37" s="20">
        <v>-12.95238095238095</v>
      </c>
      <c r="BB37" s="20">
        <v>-14.574468085106384</v>
      </c>
      <c r="BC37" s="20">
        <v>-14.838709677419356</v>
      </c>
    </row>
    <row r="38" ht="15" customHeight="1">
      <c r="A38" s="19" t="s">
        <v>184</v>
      </c>
      <c r="B38" s="19" t="s">
        <v>361</v>
      </c>
      <c r="C38" s="19" t="s">
        <v>362</v>
      </c>
      <c r="D38" s="19">
        <v>7500</v>
      </c>
      <c r="E38" s="19" t="s">
        <v>365</v>
      </c>
      <c r="F38" s="19" t="s">
        <v>327</v>
      </c>
      <c r="G38" s="20">
        <v>-24</v>
      </c>
      <c r="H38" s="20">
        <v>-23.9</v>
      </c>
      <c r="I38" s="20">
        <v>-23.9</v>
      </c>
      <c r="J38" s="20">
        <v>-23.8</v>
      </c>
      <c r="K38" s="20">
        <v>-23.7</v>
      </c>
      <c r="L38" s="20">
        <v>-23.6</v>
      </c>
      <c r="M38" s="20">
        <v>-23.6</v>
      </c>
      <c r="N38" s="20">
        <v>-23.5</v>
      </c>
      <c r="O38" s="20">
        <v>-23.4</v>
      </c>
      <c r="P38" s="20">
        <v>-23.4</v>
      </c>
      <c r="Q38" s="20">
        <v>-23.3</v>
      </c>
      <c r="R38" s="20">
        <v>-23.2</v>
      </c>
      <c r="S38" s="20">
        <v>-23.2</v>
      </c>
      <c r="T38" s="20">
        <v>-23.1</v>
      </c>
      <c r="U38" s="20">
        <v>-23</v>
      </c>
      <c r="V38" s="20">
        <v>-22.9</v>
      </c>
      <c r="W38" s="20">
        <v>-22.9</v>
      </c>
      <c r="X38" s="20">
        <v>-22.8</v>
      </c>
      <c r="Y38" s="20">
        <v>-22.7</v>
      </c>
      <c r="Z38" s="20">
        <v>-22.7</v>
      </c>
      <c r="AA38" s="20">
        <v>-22.6</v>
      </c>
      <c r="AB38" s="20">
        <v>-22.5</v>
      </c>
      <c r="AC38" s="20">
        <v>-22.5</v>
      </c>
      <c r="AD38" s="20">
        <v>-22.4</v>
      </c>
      <c r="AE38" s="21"/>
      <c r="AF38" s="20">
        <v>-22.01834862385321</v>
      </c>
      <c r="AG38" s="20">
        <v>-21.727272727272723</v>
      </c>
      <c r="AH38" s="20">
        <v>-25.157894736842106</v>
      </c>
      <c r="AI38" s="20">
        <v>-25.319148936170215</v>
      </c>
      <c r="AJ38" s="20">
        <v>-22.149532710280372</v>
      </c>
      <c r="AK38" s="20">
        <v>-21.85185185185185</v>
      </c>
      <c r="AL38" s="20">
        <v>-25.934065934065934</v>
      </c>
      <c r="AM38" s="20">
        <v>-26.11111111111111</v>
      </c>
      <c r="AN38" s="20">
        <v>-22.285714285714285</v>
      </c>
      <c r="AO38" s="20">
        <v>-22.075471698113205</v>
      </c>
      <c r="AP38" s="20">
        <v>-25.053763440860216</v>
      </c>
      <c r="AQ38" s="20">
        <v>-25.217391304347824</v>
      </c>
      <c r="AR38" s="20">
        <v>-21.284403669724767</v>
      </c>
      <c r="AS38" s="20">
        <v>-21</v>
      </c>
      <c r="AT38" s="20">
        <v>-24.210526315789476</v>
      </c>
      <c r="AU38" s="20">
        <v>-24.361702127659573</v>
      </c>
      <c r="AV38" s="20">
        <v>-21.4018691588785</v>
      </c>
      <c r="AW38" s="20">
        <v>-21.11111111111111</v>
      </c>
      <c r="AX38" s="20">
        <v>-24.94505494505494</v>
      </c>
      <c r="AY38" s="20">
        <v>-25.22222222222222</v>
      </c>
      <c r="AZ38" s="20">
        <v>-21.523809523809526</v>
      </c>
      <c r="BA38" s="20">
        <v>-21.22641509433962</v>
      </c>
      <c r="BB38" s="20">
        <v>-24.193548387096776</v>
      </c>
      <c r="BC38" s="20">
        <v>-24.34782608695652</v>
      </c>
    </row>
    <row r="39" ht="15" customHeight="1">
      <c r="A39" s="19" t="s">
        <v>184</v>
      </c>
      <c r="B39" s="19" t="s">
        <v>361</v>
      </c>
      <c r="C39" s="19" t="s">
        <v>362</v>
      </c>
      <c r="D39" s="19">
        <v>8000</v>
      </c>
      <c r="E39" s="19" t="s">
        <v>366</v>
      </c>
      <c r="F39" s="19" t="s">
        <v>327</v>
      </c>
      <c r="G39" s="20">
        <v>-8</v>
      </c>
      <c r="H39" s="20">
        <v>-8.1</v>
      </c>
      <c r="I39" s="20">
        <v>-8.2</v>
      </c>
      <c r="J39" s="20">
        <v>-8.3</v>
      </c>
      <c r="K39" s="20">
        <v>-8.4</v>
      </c>
      <c r="L39" s="20">
        <v>-8.5</v>
      </c>
      <c r="M39" s="20">
        <v>-8.6</v>
      </c>
      <c r="N39" s="20">
        <v>-8.7</v>
      </c>
      <c r="O39" s="20">
        <v>-8.8</v>
      </c>
      <c r="P39" s="20">
        <v>-8.9</v>
      </c>
      <c r="Q39" s="20">
        <v>-9</v>
      </c>
      <c r="R39" s="20">
        <v>-9.1</v>
      </c>
      <c r="S39" s="20">
        <v>-9.2</v>
      </c>
      <c r="T39" s="20">
        <v>-9.3</v>
      </c>
      <c r="U39" s="20">
        <v>-9.5</v>
      </c>
      <c r="V39" s="20">
        <v>-9.6</v>
      </c>
      <c r="W39" s="20">
        <v>-9.7</v>
      </c>
      <c r="X39" s="20">
        <v>-9.8</v>
      </c>
      <c r="Y39" s="20">
        <v>-9.9</v>
      </c>
      <c r="Z39" s="20">
        <v>-10</v>
      </c>
      <c r="AA39" s="20">
        <v>-10.2</v>
      </c>
      <c r="AB39" s="20">
        <v>-10.3</v>
      </c>
      <c r="AC39" s="20">
        <v>-10.4</v>
      </c>
      <c r="AD39" s="20">
        <v>-10.5</v>
      </c>
      <c r="AE39" s="21"/>
      <c r="AF39" s="20">
        <v>-7.2727272727272725</v>
      </c>
      <c r="AG39" s="20">
        <v>-7.7142857142857135</v>
      </c>
      <c r="AH39" s="20">
        <v>-8.72340425531915</v>
      </c>
      <c r="AI39" s="20">
        <v>-8.9247311827957</v>
      </c>
      <c r="AJ39" s="20">
        <v>-7.777777777777778</v>
      </c>
      <c r="AK39" s="20">
        <v>-7.798165137614678</v>
      </c>
      <c r="AL39" s="20">
        <v>-9.555555555555555</v>
      </c>
      <c r="AM39" s="20">
        <v>-9.157894736842104</v>
      </c>
      <c r="AN39" s="20">
        <v>-8.30188679245283</v>
      </c>
      <c r="AO39" s="20">
        <v>-8.317757009345794</v>
      </c>
      <c r="AP39" s="20">
        <v>-9.782608695652174</v>
      </c>
      <c r="AQ39" s="20">
        <v>-10</v>
      </c>
      <c r="AR39" s="20">
        <v>-8.363636363636362</v>
      </c>
      <c r="AS39" s="20">
        <v>-8.857142857142858</v>
      </c>
      <c r="AT39" s="20">
        <v>-10.106382978723405</v>
      </c>
      <c r="AU39" s="20">
        <v>-10.32258064516129</v>
      </c>
      <c r="AV39" s="20">
        <v>-8.981481481481481</v>
      </c>
      <c r="AW39" s="20">
        <v>-8.990825688073395</v>
      </c>
      <c r="AX39" s="20">
        <v>-11</v>
      </c>
      <c r="AY39" s="20">
        <v>-10.526315789473685</v>
      </c>
      <c r="AZ39" s="20">
        <v>-9.622641509433961</v>
      </c>
      <c r="BA39" s="20">
        <v>-9.626168224299066</v>
      </c>
      <c r="BB39" s="20">
        <v>-11.304347826086957</v>
      </c>
      <c r="BC39" s="20">
        <v>-11.538461538461538</v>
      </c>
    </row>
    <row r="40" ht="15" customHeight="1">
      <c r="A40" s="19" t="s">
        <v>184</v>
      </c>
      <c r="B40" s="19" t="s">
        <v>361</v>
      </c>
      <c r="C40" s="19" t="s">
        <v>362</v>
      </c>
      <c r="D40" s="19">
        <v>8010</v>
      </c>
      <c r="E40" s="19" t="s">
        <v>367</v>
      </c>
      <c r="F40" s="19" t="s">
        <v>327</v>
      </c>
      <c r="G40" s="20">
        <v>3</v>
      </c>
      <c r="H40" s="20">
        <v>3</v>
      </c>
      <c r="I40" s="20">
        <v>3.1</v>
      </c>
      <c r="J40" s="20">
        <v>3.1</v>
      </c>
      <c r="K40" s="20">
        <v>3.1</v>
      </c>
      <c r="L40" s="20">
        <v>3.2</v>
      </c>
      <c r="M40" s="20">
        <v>3.2</v>
      </c>
      <c r="N40" s="20">
        <v>3.3</v>
      </c>
      <c r="O40" s="20">
        <v>3.3</v>
      </c>
      <c r="P40" s="20">
        <v>3.3</v>
      </c>
      <c r="Q40" s="20">
        <v>3.4</v>
      </c>
      <c r="R40" s="20">
        <v>3.4</v>
      </c>
      <c r="S40" s="20">
        <v>3.5</v>
      </c>
      <c r="T40" s="20">
        <v>3.5</v>
      </c>
      <c r="U40" s="20">
        <v>3.5</v>
      </c>
      <c r="V40" s="20">
        <v>3.6</v>
      </c>
      <c r="W40" s="20">
        <v>3.6</v>
      </c>
      <c r="X40" s="20">
        <v>3.7</v>
      </c>
      <c r="Y40" s="20">
        <v>3.7</v>
      </c>
      <c r="Z40" s="20">
        <v>3.8</v>
      </c>
      <c r="AA40" s="20">
        <v>3.8</v>
      </c>
      <c r="AB40" s="20">
        <v>3.9</v>
      </c>
      <c r="AC40" s="20">
        <v>3.9</v>
      </c>
      <c r="AD40" s="20">
        <v>3.9</v>
      </c>
      <c r="AE40" s="21"/>
      <c r="AF40" s="20">
        <v>2.857142857142857</v>
      </c>
      <c r="AG40" s="20">
        <v>2.830188679245283</v>
      </c>
      <c r="AH40" s="20">
        <v>3.3333333333333335</v>
      </c>
      <c r="AI40" s="20">
        <v>3.369565217391304</v>
      </c>
      <c r="AJ40" s="20">
        <v>2.8440366972477062</v>
      </c>
      <c r="AK40" s="20">
        <v>2.909090909090909</v>
      </c>
      <c r="AL40" s="20">
        <v>3.368421052631579</v>
      </c>
      <c r="AM40" s="20">
        <v>3.5106382978723403</v>
      </c>
      <c r="AN40" s="20">
        <v>3.08411214953271</v>
      </c>
      <c r="AO40" s="20">
        <v>3.0555555555555554</v>
      </c>
      <c r="AP40" s="20">
        <v>3.736263736263736</v>
      </c>
      <c r="AQ40" s="20">
        <v>3.7777777777777777</v>
      </c>
      <c r="AR40" s="20">
        <v>3.333333333333333</v>
      </c>
      <c r="AS40" s="20">
        <v>3.30188679245283</v>
      </c>
      <c r="AT40" s="20">
        <v>3.763440860215054</v>
      </c>
      <c r="AU40" s="20">
        <v>3.9130434782608696</v>
      </c>
      <c r="AV40" s="20">
        <v>3.3027522935779814</v>
      </c>
      <c r="AW40" s="20">
        <v>3.3636363636363633</v>
      </c>
      <c r="AX40" s="20">
        <v>3.8947368421052637</v>
      </c>
      <c r="AY40" s="20">
        <v>4.042553191489362</v>
      </c>
      <c r="AZ40" s="20">
        <v>3.551401869158878</v>
      </c>
      <c r="BA40" s="20">
        <v>3.6111111111111107</v>
      </c>
      <c r="BB40" s="20">
        <v>4.285714285714286</v>
      </c>
      <c r="BC40" s="20">
        <v>4.333333333333333</v>
      </c>
    </row>
    <row r="41" ht="15" customHeight="1">
      <c r="A41" s="22" t="s">
        <v>184</v>
      </c>
      <c r="B41" s="22" t="s">
        <v>361</v>
      </c>
      <c r="C41" s="22" t="s">
        <v>42</v>
      </c>
      <c r="D41" s="22" t="s">
        <v>43</v>
      </c>
      <c r="E41" s="22" t="s">
        <v>368</v>
      </c>
      <c r="F41" s="22" t="s">
        <v>327</v>
      </c>
      <c r="G41" s="23">
        <f t="shared" si="1"/>
        <v>-58</v>
      </c>
      <c r="H41" s="23">
        <f t="shared" si="1"/>
        <v>-58.3</v>
      </c>
      <c r="I41" s="23">
        <f t="shared" si="1"/>
        <v>-58.6</v>
      </c>
      <c r="J41" s="23">
        <f t="shared" si="1"/>
        <v>-58.8</v>
      </c>
      <c r="K41" s="23">
        <f t="shared" si="1"/>
        <v>-59.1</v>
      </c>
      <c r="L41" s="23">
        <f t="shared" si="1"/>
        <v>-59.4</v>
      </c>
      <c r="M41" s="23">
        <f t="shared" si="1"/>
        <v>-59.8</v>
      </c>
      <c r="N41" s="23">
        <f t="shared" si="1"/>
        <v>-60</v>
      </c>
      <c r="O41" s="23">
        <f t="shared" si="1"/>
        <v>-60.3</v>
      </c>
      <c r="P41" s="23">
        <f t="shared" si="1"/>
        <v>-60.7</v>
      </c>
      <c r="Q41" s="23">
        <f t="shared" si="1"/>
        <v>-61</v>
      </c>
      <c r="R41" s="23">
        <f t="shared" si="1"/>
        <v>-61.3</v>
      </c>
      <c r="S41" s="23">
        <f t="shared" si="1"/>
        <v>-61.6</v>
      </c>
      <c r="T41" s="23">
        <f t="shared" si="1"/>
        <v>-61.9</v>
      </c>
      <c r="U41" s="23">
        <f t="shared" si="1"/>
        <v>-62.3</v>
      </c>
      <c r="V41" s="23">
        <f t="shared" si="1"/>
        <v>-62.6</v>
      </c>
      <c r="W41" s="23">
        <f t="shared" si="1"/>
        <v>-63</v>
      </c>
      <c r="X41" s="23">
        <f t="shared" si="1"/>
        <v>-63.2</v>
      </c>
      <c r="Y41" s="23">
        <f t="shared" si="1"/>
        <v>-63.6</v>
      </c>
      <c r="Z41" s="23">
        <f t="shared" si="1"/>
        <v>-63.9</v>
      </c>
      <c r="AA41" s="23">
        <f t="shared" si="1"/>
        <v>-64.4</v>
      </c>
      <c r="AB41" s="23">
        <f t="shared" si="1"/>
        <v>-64.7</v>
      </c>
      <c r="AC41" s="23">
        <f t="shared" si="1"/>
        <v>-65.1</v>
      </c>
      <c r="AD41" s="23">
        <f t="shared" si="1"/>
        <v>-65.4</v>
      </c>
      <c r="AE41" s="24"/>
      <c r="AF41" s="23">
        <f t="shared" si="1"/>
        <v>-53.4415481311649</v>
      </c>
      <c r="AG41" s="23">
        <f t="shared" si="1"/>
        <v>-53.6467078526971</v>
      </c>
      <c r="AH41" s="23">
        <f t="shared" si="1"/>
        <v>-63.2121903230526</v>
      </c>
      <c r="AI41" s="23">
        <f t="shared" si="1"/>
        <v>-63.3246072992354</v>
      </c>
      <c r="AJ41" s="23">
        <f t="shared" si="1"/>
        <v>-55.6475145814663</v>
      </c>
      <c r="AK41" s="23">
        <f t="shared" si="1"/>
        <v>-55.412236254948</v>
      </c>
      <c r="AL41" s="23">
        <f t="shared" si="1"/>
        <v>-65.3762261499399</v>
      </c>
      <c r="AM41" s="23">
        <f t="shared" si="1"/>
        <v>-65.7036613866791</v>
      </c>
      <c r="AN41" s="23">
        <f t="shared" si="1"/>
        <v>-56.211579003697</v>
      </c>
      <c r="AO41" s="23">
        <f t="shared" si="1"/>
        <v>-56.6753354895658</v>
      </c>
      <c r="AP41" s="23">
        <f t="shared" si="1"/>
        <v>-65.0262002255566</v>
      </c>
      <c r="AQ41" s="23">
        <f t="shared" si="1"/>
        <v>-66.0483987015872</v>
      </c>
      <c r="AR41" s="23">
        <f t="shared" si="1"/>
        <v>-56.7681507983317</v>
      </c>
      <c r="AS41" s="23">
        <f t="shared" si="1"/>
        <v>-57.0046274544284</v>
      </c>
      <c r="AT41" s="23">
        <f t="shared" si="1"/>
        <v>-67.3007211815506</v>
      </c>
      <c r="AU41" s="23">
        <f t="shared" si="1"/>
        <v>-67.4671457273085</v>
      </c>
      <c r="AV41" s="23">
        <f t="shared" si="1"/>
        <v>-59.3456477627748</v>
      </c>
      <c r="AW41" s="23">
        <f t="shared" si="1"/>
        <v>-58.98217276847</v>
      </c>
      <c r="AX41" s="23">
        <f t="shared" si="1"/>
        <v>-69.5164237597987</v>
      </c>
      <c r="AY41" s="23">
        <f t="shared" si="1"/>
        <v>-69.9083259573303</v>
      </c>
      <c r="AZ41" s="23">
        <f t="shared" si="1"/>
        <v>-59.9603535844349</v>
      </c>
      <c r="BA41" s="23">
        <f t="shared" si="1"/>
        <v>-60.3756713417267</v>
      </c>
      <c r="BB41" s="23">
        <f t="shared" si="1"/>
        <v>-69.3655973809969</v>
      </c>
      <c r="BC41" s="23">
        <f t="shared" si="1"/>
        <v>-70.4342171609934</v>
      </c>
    </row>
    <row r="42" ht="15" customHeight="1">
      <c r="A42" s="19" t="s">
        <v>45</v>
      </c>
      <c r="B42" s="19" t="s">
        <v>45</v>
      </c>
      <c r="C42" s="19" t="s">
        <v>45</v>
      </c>
      <c r="D42" s="19" t="s">
        <v>45</v>
      </c>
      <c r="E42" s="19" t="s">
        <v>45</v>
      </c>
      <c r="F42" s="19" t="s">
        <v>45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1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</row>
    <row r="43" ht="15" customHeight="1">
      <c r="A43" s="28" t="s">
        <v>184</v>
      </c>
      <c r="B43" s="28" t="s">
        <v>369</v>
      </c>
      <c r="C43" s="28" t="s">
        <v>370</v>
      </c>
      <c r="D43" s="28" t="s">
        <v>149</v>
      </c>
      <c r="E43" s="28" t="s">
        <v>371</v>
      </c>
      <c r="F43" s="28" t="s">
        <v>327</v>
      </c>
      <c r="G43" s="29">
        <f t="shared" si="3" ref="G43:BC43">G8+G15+G22+G27+G34+G41</f>
        <v>-108.1</v>
      </c>
      <c r="H43" s="29">
        <f t="shared" si="3"/>
        <v>-79.7</v>
      </c>
      <c r="I43" s="29">
        <f t="shared" si="3"/>
        <v>-29.5999999999998</v>
      </c>
      <c r="J43" s="29">
        <f t="shared" si="3"/>
        <v>-38.5999999999998</v>
      </c>
      <c r="K43" s="29">
        <f t="shared" si="3"/>
        <v>14.4999999999999</v>
      </c>
      <c r="L43" s="29">
        <f t="shared" si="3"/>
        <v>48.7999999999997</v>
      </c>
      <c r="M43" s="29">
        <f t="shared" si="3"/>
        <v>-25.3000000000003</v>
      </c>
      <c r="N43" s="29">
        <f t="shared" si="3"/>
        <v>-58.4000000000001</v>
      </c>
      <c r="O43" s="29">
        <f t="shared" si="3"/>
        <v>45.5</v>
      </c>
      <c r="P43" s="29">
        <f t="shared" si="3"/>
        <v>83.3</v>
      </c>
      <c r="Q43" s="29">
        <f t="shared" si="3"/>
        <v>171.4</v>
      </c>
      <c r="R43" s="29">
        <f t="shared" si="3"/>
        <v>313.1</v>
      </c>
      <c r="S43" s="29">
        <f t="shared" si="3"/>
        <v>29.8999999999999</v>
      </c>
      <c r="T43" s="29">
        <f t="shared" si="3"/>
        <v>70.6000000000002</v>
      </c>
      <c r="U43" s="29">
        <f t="shared" si="3"/>
        <v>139.8</v>
      </c>
      <c r="V43" s="29">
        <f t="shared" si="3"/>
        <v>130.3</v>
      </c>
      <c r="W43" s="29">
        <f t="shared" si="3"/>
        <v>203.8</v>
      </c>
      <c r="X43" s="29">
        <f t="shared" si="3"/>
        <v>252.2</v>
      </c>
      <c r="Y43" s="29">
        <f t="shared" si="3"/>
        <v>156.3</v>
      </c>
      <c r="Z43" s="29">
        <f t="shared" si="3"/>
        <v>115.3</v>
      </c>
      <c r="AA43" s="29">
        <f t="shared" si="3"/>
        <v>256.3</v>
      </c>
      <c r="AB43" s="29">
        <f t="shared" si="3"/>
        <v>310.2</v>
      </c>
      <c r="AC43" s="29">
        <f t="shared" si="3"/>
        <v>429.9</v>
      </c>
      <c r="AD43" s="29">
        <f t="shared" si="3"/>
        <v>621.7</v>
      </c>
      <c r="AE43" s="30"/>
      <c r="AF43" s="29">
        <f t="shared" si="3"/>
        <v>-71.6793798313209</v>
      </c>
      <c r="AG43" s="29">
        <f t="shared" si="3"/>
        <v>-50.1882656121362</v>
      </c>
      <c r="AH43" s="29">
        <f t="shared" si="3"/>
        <v>-50.7554045324795</v>
      </c>
      <c r="AI43" s="29">
        <f t="shared" si="3"/>
        <v>-32.2917940686385</v>
      </c>
      <c r="AJ43" s="29">
        <f t="shared" si="3"/>
        <v>-15.8006496775124</v>
      </c>
      <c r="AK43" s="29">
        <f t="shared" si="3"/>
        <v>8.89287509714612</v>
      </c>
      <c r="AL43" s="29">
        <f t="shared" si="3"/>
        <v>-71.3543214953459</v>
      </c>
      <c r="AM43" s="29">
        <f t="shared" si="3"/>
        <v>-99.3679861928721</v>
      </c>
      <c r="AN43" s="29">
        <f t="shared" si="3"/>
        <v>57.0939880619491</v>
      </c>
      <c r="AO43" s="29">
        <f t="shared" si="3"/>
        <v>68.0297031758883</v>
      </c>
      <c r="AP43" s="29">
        <f t="shared" si="3"/>
        <v>231.593945464044</v>
      </c>
      <c r="AQ43" s="29">
        <f t="shared" si="3"/>
        <v>399.157668521139</v>
      </c>
      <c r="AR43" s="29">
        <f t="shared" si="3"/>
        <v>66.1274774649235</v>
      </c>
      <c r="AS43" s="29">
        <f t="shared" si="3"/>
        <v>96.6599929014255</v>
      </c>
      <c r="AT43" s="29">
        <f t="shared" si="3"/>
        <v>127.19319030724</v>
      </c>
      <c r="AU43" s="29">
        <f t="shared" si="3"/>
        <v>153.272794413331</v>
      </c>
      <c r="AV43" s="29">
        <f t="shared" si="3"/>
        <v>151.19738190145</v>
      </c>
      <c r="AW43" s="29">
        <f t="shared" si="3"/>
        <v>187.165346119237</v>
      </c>
      <c r="AX43" s="29">
        <f t="shared" si="3"/>
        <v>110.630292834348</v>
      </c>
      <c r="AY43" s="29">
        <f t="shared" si="3"/>
        <v>77.8076071427666</v>
      </c>
      <c r="AZ43" s="29">
        <f t="shared" si="3"/>
        <v>257.337635033406</v>
      </c>
      <c r="BA43" s="29">
        <f t="shared" si="3"/>
        <v>276.207555325143</v>
      </c>
      <c r="BB43" s="29">
        <f t="shared" si="3"/>
        <v>525.710277947097</v>
      </c>
      <c r="BC43" s="29">
        <f t="shared" si="3"/>
        <v>751.278667573433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BE7636-89B8-53B5-3D89-8C179E7EFDC4}" mc:Ignorable="x14ac xr xr2 xr3">
  <dimension ref="A1:CV10000"/>
  <sheetViews>
    <sheetView showGridLines="0" workbookViewId="0">
      <pane xSplit="6" ySplit="3" topLeftCell="G4" activePane="bottomRight" state="frozen"/>
      <selection pane="bottomLeft" activeCell="A4" sqref="A4"/>
      <selection pane="topRight" activeCell="G1" sqref="G1"/>
      <selection pane="bottomRight" activeCell="C16" sqref="C16"/>
    </sheetView>
  </sheetViews>
  <sheetFormatPr defaultRowHeight="15" defaultColWidth="7.75390625" customHeight="1"/>
  <cols>
    <col min="1" max="1" width="17.50390625" customWidth="1"/>
    <col min="2" max="2" width="16.875" customWidth="1"/>
    <col min="3" max="3" width="37.50390625" customWidth="1"/>
    <col min="4" max="4" width="13.75390625" customWidth="1"/>
    <col min="5" max="5" width="13.125" customWidth="1"/>
    <col min="6" max="6" width="10.625" customWidth="1"/>
    <col min="7" max="30" width="9.00390625" customWidth="1"/>
    <col min="31" max="31" width="2.25390625" customWidth="1"/>
    <col min="32" max="55" width="9.00390625" customWidth="1"/>
  </cols>
  <sheetData>
    <row r="1" ht="15" customHeight="1">
      <c r="A1" s="15" t="s">
        <v>372</v>
      </c>
      <c r="B1" s="15" t="s">
        <v>373</v>
      </c>
      <c r="C1" s="15"/>
      <c r="D1" s="15"/>
      <c r="E1" s="15" t="s">
        <v>374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ht="15" customHeight="1">
      <c r="A2" s="17"/>
      <c r="B2" s="17"/>
      <c r="C2" s="17"/>
      <c r="D2" s="17"/>
      <c r="E2" s="17"/>
      <c r="F2" s="17"/>
      <c r="G2" s="17" t="s">
        <v>375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/>
      <c r="AF2" s="17" t="s">
        <v>376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ht="22.5" customHeight="1">
      <c r="A3" s="17" t="s">
        <v>5</v>
      </c>
      <c r="B3" s="17" t="s">
        <v>6</v>
      </c>
      <c r="C3" s="17" t="s">
        <v>7</v>
      </c>
      <c r="D3" s="17" t="s">
        <v>377</v>
      </c>
      <c r="E3" s="17" t="s">
        <v>378</v>
      </c>
      <c r="F3" s="17" t="s">
        <v>10</v>
      </c>
      <c r="G3" s="17" t="s">
        <v>11</v>
      </c>
      <c r="H3" s="17" t="s">
        <v>12</v>
      </c>
      <c r="I3" s="17" t="s">
        <v>13</v>
      </c>
      <c r="J3" s="17" t="s">
        <v>14</v>
      </c>
      <c r="K3" s="17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7" t="s">
        <v>23</v>
      </c>
      <c r="T3" s="17" t="s">
        <v>24</v>
      </c>
      <c r="U3" s="17" t="s">
        <v>25</v>
      </c>
      <c r="V3" s="17" t="s">
        <v>26</v>
      </c>
      <c r="W3" s="17" t="s">
        <v>27</v>
      </c>
      <c r="X3" s="17" t="s">
        <v>28</v>
      </c>
      <c r="Y3" s="17" t="s">
        <v>29</v>
      </c>
      <c r="Z3" s="17" t="s">
        <v>30</v>
      </c>
      <c r="AA3" s="17" t="s">
        <v>31</v>
      </c>
      <c r="AB3" s="17" t="s">
        <v>32</v>
      </c>
      <c r="AC3" s="17" t="s">
        <v>33</v>
      </c>
      <c r="AD3" s="17" t="s">
        <v>34</v>
      </c>
      <c r="AE3" s="18"/>
      <c r="AF3" s="17" t="s">
        <v>11</v>
      </c>
      <c r="AG3" s="17" t="s">
        <v>12</v>
      </c>
      <c r="AH3" s="17" t="s">
        <v>13</v>
      </c>
      <c r="AI3" s="17" t="s">
        <v>14</v>
      </c>
      <c r="AJ3" s="17" t="s">
        <v>15</v>
      </c>
      <c r="AK3" s="17" t="s">
        <v>16</v>
      </c>
      <c r="AL3" s="17" t="s">
        <v>17</v>
      </c>
      <c r="AM3" s="17" t="s">
        <v>18</v>
      </c>
      <c r="AN3" s="17" t="s">
        <v>19</v>
      </c>
      <c r="AO3" s="17" t="s">
        <v>20</v>
      </c>
      <c r="AP3" s="17" t="s">
        <v>21</v>
      </c>
      <c r="AQ3" s="17" t="s">
        <v>22</v>
      </c>
      <c r="AR3" s="17" t="s">
        <v>23</v>
      </c>
      <c r="AS3" s="17" t="s">
        <v>24</v>
      </c>
      <c r="AT3" s="17" t="s">
        <v>25</v>
      </c>
      <c r="AU3" s="17" t="s">
        <v>26</v>
      </c>
      <c r="AV3" s="17" t="s">
        <v>27</v>
      </c>
      <c r="AW3" s="17" t="s">
        <v>28</v>
      </c>
      <c r="AX3" s="17" t="s">
        <v>29</v>
      </c>
      <c r="AY3" s="17" t="s">
        <v>30</v>
      </c>
      <c r="AZ3" s="17" t="s">
        <v>31</v>
      </c>
      <c r="BA3" s="17" t="s">
        <v>32</v>
      </c>
      <c r="BB3" s="17" t="s">
        <v>33</v>
      </c>
      <c r="BC3" s="17" t="s">
        <v>34</v>
      </c>
    </row>
    <row r="4" ht="15" customHeight="1">
      <c r="A4" s="19" t="s">
        <v>240</v>
      </c>
      <c r="B4" s="19" t="s">
        <v>156</v>
      </c>
      <c r="C4" s="19" t="s">
        <v>141</v>
      </c>
      <c r="D4" s="19" t="s">
        <v>379</v>
      </c>
      <c r="E4" s="19" t="s">
        <v>380</v>
      </c>
      <c r="F4" s="19" t="s">
        <v>381</v>
      </c>
      <c r="G4" s="42">
        <v>0.92</v>
      </c>
      <c r="H4" s="42">
        <v>0.9315</v>
      </c>
      <c r="I4" s="42">
        <v>0.9404</v>
      </c>
      <c r="J4" s="42">
        <v>0.9447</v>
      </c>
      <c r="K4" s="42">
        <v>0.9436</v>
      </c>
      <c r="L4" s="42">
        <v>0.9372</v>
      </c>
      <c r="M4" s="42">
        <v>0.927</v>
      </c>
      <c r="N4" s="42">
        <v>0.9152</v>
      </c>
      <c r="O4" s="42">
        <v>0.9045</v>
      </c>
      <c r="P4" s="42">
        <v>0.8972</v>
      </c>
      <c r="Q4" s="42">
        <v>0.895</v>
      </c>
      <c r="R4" s="42">
        <v>0.8984</v>
      </c>
      <c r="S4" s="42">
        <v>0.9065</v>
      </c>
      <c r="T4" s="42">
        <v>0.9177</v>
      </c>
      <c r="U4" s="42">
        <v>0.9294</v>
      </c>
      <c r="V4" s="42">
        <v>0.9389</v>
      </c>
      <c r="W4" s="42">
        <v>0.9443</v>
      </c>
      <c r="X4" s="42">
        <v>0.9443</v>
      </c>
      <c r="Y4" s="42">
        <v>0.9388</v>
      </c>
      <c r="Z4" s="42">
        <v>0.9292</v>
      </c>
      <c r="AA4" s="42">
        <v>0.9175</v>
      </c>
      <c r="AB4" s="42">
        <v>0.9064</v>
      </c>
      <c r="AC4" s="42">
        <v>0.8983</v>
      </c>
      <c r="AD4" s="42">
        <v>0.895</v>
      </c>
      <c r="AE4" s="43"/>
      <c r="AF4" s="42">
        <v>0.925</v>
      </c>
      <c r="AG4" s="42">
        <v>0.925</v>
      </c>
      <c r="AH4" s="42">
        <v>0.925</v>
      </c>
      <c r="AI4" s="42">
        <v>0.925</v>
      </c>
      <c r="AJ4" s="42">
        <v>0.925</v>
      </c>
      <c r="AK4" s="42">
        <v>0.925</v>
      </c>
      <c r="AL4" s="42">
        <v>0.925</v>
      </c>
      <c r="AM4" s="42">
        <v>0.925</v>
      </c>
      <c r="AN4" s="42">
        <v>0.925</v>
      </c>
      <c r="AO4" s="42">
        <v>0.925</v>
      </c>
      <c r="AP4" s="42">
        <v>0.925</v>
      </c>
      <c r="AQ4" s="42">
        <v>0.925</v>
      </c>
      <c r="AR4" s="42">
        <v>0.925</v>
      </c>
      <c r="AS4" s="42">
        <v>0.925</v>
      </c>
      <c r="AT4" s="42">
        <v>0.925</v>
      </c>
      <c r="AU4" s="42">
        <v>0.925</v>
      </c>
      <c r="AV4" s="42">
        <v>0.925</v>
      </c>
      <c r="AW4" s="42">
        <v>0.925</v>
      </c>
      <c r="AX4" s="42">
        <v>0.925</v>
      </c>
      <c r="AY4" s="42">
        <v>0.925</v>
      </c>
      <c r="AZ4" s="42">
        <v>0.925</v>
      </c>
      <c r="BA4" s="42">
        <v>0.925</v>
      </c>
      <c r="BB4" s="42">
        <v>0.925</v>
      </c>
      <c r="BC4" s="42">
        <v>0.925</v>
      </c>
    </row>
    <row r="5" ht="15" customHeight="1">
      <c r="A5" s="19" t="s">
        <v>240</v>
      </c>
      <c r="B5" s="19" t="s">
        <v>156</v>
      </c>
      <c r="C5" s="19" t="s">
        <v>141</v>
      </c>
      <c r="D5" s="19" t="s">
        <v>382</v>
      </c>
      <c r="E5" s="19" t="s">
        <v>383</v>
      </c>
      <c r="F5" s="19" t="s">
        <v>381</v>
      </c>
      <c r="G5" s="42">
        <v>0.918</v>
      </c>
      <c r="H5" s="42">
        <v>0.9258</v>
      </c>
      <c r="I5" s="42">
        <v>0.927</v>
      </c>
      <c r="J5" s="42">
        <v>0.9268</v>
      </c>
      <c r="K5" s="42">
        <v>0.9284</v>
      </c>
      <c r="L5" s="42">
        <v>0.9295</v>
      </c>
      <c r="M5" s="42">
        <v>0.9247</v>
      </c>
      <c r="N5" s="42">
        <v>0.9113</v>
      </c>
      <c r="O5" s="42">
        <v>0.8934</v>
      </c>
      <c r="P5" s="42">
        <v>0.88</v>
      </c>
      <c r="Q5" s="42">
        <v>0.8783</v>
      </c>
      <c r="R5" s="42">
        <v>0.8884</v>
      </c>
      <c r="S5" s="42">
        <v>0.9033</v>
      </c>
      <c r="T5" s="42">
        <v>0.9149</v>
      </c>
      <c r="U5" s="42">
        <v>0.9204</v>
      </c>
      <c r="V5" s="42">
        <v>0.9229</v>
      </c>
      <c r="W5" s="42">
        <v>0.9267</v>
      </c>
      <c r="X5" s="42">
        <v>0.9321</v>
      </c>
      <c r="Y5" s="42">
        <v>0.9341</v>
      </c>
      <c r="Z5" s="42">
        <v>0.9271</v>
      </c>
      <c r="AA5" s="42">
        <v>0.9108</v>
      </c>
      <c r="AB5" s="42">
        <v>0.892</v>
      </c>
      <c r="AC5" s="42">
        <v>0.8803</v>
      </c>
      <c r="AD5" s="42">
        <v>0.8808</v>
      </c>
      <c r="AE5" s="43"/>
      <c r="AF5" s="42">
        <v>0.925</v>
      </c>
      <c r="AG5" s="42">
        <v>0.925</v>
      </c>
      <c r="AH5" s="42">
        <v>0.925</v>
      </c>
      <c r="AI5" s="42">
        <v>0.925</v>
      </c>
      <c r="AJ5" s="42">
        <v>0.925</v>
      </c>
      <c r="AK5" s="42">
        <v>0.925</v>
      </c>
      <c r="AL5" s="42">
        <v>0.925</v>
      </c>
      <c r="AM5" s="42">
        <v>0.925</v>
      </c>
      <c r="AN5" s="42">
        <v>0.925</v>
      </c>
      <c r="AO5" s="42">
        <v>0.925</v>
      </c>
      <c r="AP5" s="42">
        <v>0.925</v>
      </c>
      <c r="AQ5" s="42">
        <v>0.925</v>
      </c>
      <c r="AR5" s="42">
        <v>0.925</v>
      </c>
      <c r="AS5" s="42">
        <v>0.925</v>
      </c>
      <c r="AT5" s="42">
        <v>0.925</v>
      </c>
      <c r="AU5" s="42">
        <v>0.925</v>
      </c>
      <c r="AV5" s="42">
        <v>0.925</v>
      </c>
      <c r="AW5" s="42">
        <v>0.925</v>
      </c>
      <c r="AX5" s="42">
        <v>0.925</v>
      </c>
      <c r="AY5" s="42">
        <v>0.925</v>
      </c>
      <c r="AZ5" s="42">
        <v>0.925</v>
      </c>
      <c r="BA5" s="42">
        <v>0.925</v>
      </c>
      <c r="BB5" s="42">
        <v>0.925</v>
      </c>
      <c r="BC5" s="42">
        <v>0.925</v>
      </c>
    </row>
    <row r="6" ht="15" customHeight="1">
      <c r="A6" s="19" t="s">
        <v>240</v>
      </c>
      <c r="B6" s="19" t="s">
        <v>156</v>
      </c>
      <c r="C6" s="19" t="s">
        <v>141</v>
      </c>
      <c r="D6" s="19" t="s">
        <v>384</v>
      </c>
      <c r="E6" s="19" t="s">
        <v>385</v>
      </c>
      <c r="F6" s="19" t="s">
        <v>386</v>
      </c>
      <c r="G6" s="42">
        <v>1.17</v>
      </c>
      <c r="H6" s="42">
        <v>1.1763</v>
      </c>
      <c r="I6" s="42">
        <v>1.1818</v>
      </c>
      <c r="J6" s="42">
        <v>1.1858</v>
      </c>
      <c r="K6" s="42">
        <v>1.1878</v>
      </c>
      <c r="L6" s="42">
        <v>1.1876</v>
      </c>
      <c r="M6" s="42">
        <v>1.1851</v>
      </c>
      <c r="N6" s="42">
        <v>1.1808</v>
      </c>
      <c r="O6" s="42">
        <v>1.1751</v>
      </c>
      <c r="P6" s="42">
        <v>1.1687</v>
      </c>
      <c r="Q6" s="42">
        <v>1.1625</v>
      </c>
      <c r="R6" s="42">
        <v>1.1573</v>
      </c>
      <c r="S6" s="42">
        <v>1.1536</v>
      </c>
      <c r="T6" s="42">
        <v>1.152</v>
      </c>
      <c r="U6" s="42">
        <v>1.1527</v>
      </c>
      <c r="V6" s="42">
        <v>1.1556</v>
      </c>
      <c r="W6" s="42">
        <v>1.1603</v>
      </c>
      <c r="X6" s="42">
        <v>1.1662</v>
      </c>
      <c r="Y6" s="42">
        <v>1.1726</v>
      </c>
      <c r="Z6" s="42">
        <v>1.1787</v>
      </c>
      <c r="AA6" s="42">
        <v>1.1836</v>
      </c>
      <c r="AB6" s="42">
        <v>1.1869</v>
      </c>
      <c r="AC6" s="42">
        <v>1.188</v>
      </c>
      <c r="AD6" s="42">
        <v>1.1868</v>
      </c>
      <c r="AE6" s="43"/>
      <c r="AF6" s="42">
        <v>1.175</v>
      </c>
      <c r="AG6" s="42">
        <v>1.175</v>
      </c>
      <c r="AH6" s="42">
        <v>1.175</v>
      </c>
      <c r="AI6" s="42">
        <v>1.175</v>
      </c>
      <c r="AJ6" s="42">
        <v>1.175</v>
      </c>
      <c r="AK6" s="42">
        <v>1.175</v>
      </c>
      <c r="AL6" s="42">
        <v>1.175</v>
      </c>
      <c r="AM6" s="42">
        <v>1.175</v>
      </c>
      <c r="AN6" s="42">
        <v>1.175</v>
      </c>
      <c r="AO6" s="42">
        <v>1.175</v>
      </c>
      <c r="AP6" s="42">
        <v>1.175</v>
      </c>
      <c r="AQ6" s="42">
        <v>1.175</v>
      </c>
      <c r="AR6" s="42">
        <v>1.175</v>
      </c>
      <c r="AS6" s="42">
        <v>1.175</v>
      </c>
      <c r="AT6" s="42">
        <v>1.175</v>
      </c>
      <c r="AU6" s="42">
        <v>1.175</v>
      </c>
      <c r="AV6" s="42">
        <v>1.175</v>
      </c>
      <c r="AW6" s="42">
        <v>1.175</v>
      </c>
      <c r="AX6" s="42">
        <v>1.175</v>
      </c>
      <c r="AY6" s="42">
        <v>1.175</v>
      </c>
      <c r="AZ6" s="42">
        <v>1.175</v>
      </c>
      <c r="BA6" s="42">
        <v>1.175</v>
      </c>
      <c r="BB6" s="42">
        <v>1.175</v>
      </c>
      <c r="BC6" s="42">
        <v>1.175</v>
      </c>
    </row>
    <row r="7" ht="15" customHeight="1">
      <c r="A7" s="19" t="s">
        <v>240</v>
      </c>
      <c r="B7" s="19" t="s">
        <v>156</v>
      </c>
      <c r="C7" s="19" t="s">
        <v>141</v>
      </c>
      <c r="D7" s="19" t="s">
        <v>387</v>
      </c>
      <c r="E7" s="19" t="s">
        <v>388</v>
      </c>
      <c r="F7" s="19" t="s">
        <v>386</v>
      </c>
      <c r="G7" s="42">
        <v>1.166</v>
      </c>
      <c r="H7" s="42">
        <v>1.1695</v>
      </c>
      <c r="I7" s="42">
        <v>1.1693</v>
      </c>
      <c r="J7" s="42">
        <v>1.1699</v>
      </c>
      <c r="K7" s="42">
        <v>1.1739</v>
      </c>
      <c r="L7" s="42">
        <v>1.1793</v>
      </c>
      <c r="M7" s="42">
        <v>1.1809</v>
      </c>
      <c r="N7" s="42">
        <v>1.1753</v>
      </c>
      <c r="O7" s="42">
        <v>1.1642</v>
      </c>
      <c r="P7" s="42">
        <v>1.1532</v>
      </c>
      <c r="Q7" s="42">
        <v>1.1475</v>
      </c>
      <c r="R7" s="42">
        <v>1.1473</v>
      </c>
      <c r="S7" s="42">
        <v>1.1487</v>
      </c>
      <c r="T7" s="42">
        <v>1.1475</v>
      </c>
      <c r="U7" s="42">
        <v>1.1436</v>
      </c>
      <c r="V7" s="42">
        <v>1.1411</v>
      </c>
      <c r="W7" s="42">
        <v>1.1446</v>
      </c>
      <c r="X7" s="42">
        <v>1.1546</v>
      </c>
      <c r="Y7" s="42">
        <v>1.1666</v>
      </c>
      <c r="Z7" s="42">
        <v>1.1746</v>
      </c>
      <c r="AA7" s="42">
        <v>1.1761</v>
      </c>
      <c r="AB7" s="42">
        <v>1.1736</v>
      </c>
      <c r="AC7" s="42">
        <v>1.172</v>
      </c>
      <c r="AD7" s="42">
        <v>1.1736</v>
      </c>
      <c r="AE7" s="43"/>
      <c r="AF7" s="42">
        <v>1.175</v>
      </c>
      <c r="AG7" s="42">
        <v>1.175</v>
      </c>
      <c r="AH7" s="42">
        <v>1.175</v>
      </c>
      <c r="AI7" s="42">
        <v>1.175</v>
      </c>
      <c r="AJ7" s="42">
        <v>1.175</v>
      </c>
      <c r="AK7" s="42">
        <v>1.175</v>
      </c>
      <c r="AL7" s="42">
        <v>1.175</v>
      </c>
      <c r="AM7" s="42">
        <v>1.175</v>
      </c>
      <c r="AN7" s="42">
        <v>1.175</v>
      </c>
      <c r="AO7" s="42">
        <v>1.175</v>
      </c>
      <c r="AP7" s="42">
        <v>1.175</v>
      </c>
      <c r="AQ7" s="42">
        <v>1.175</v>
      </c>
      <c r="AR7" s="42">
        <v>1.175</v>
      </c>
      <c r="AS7" s="42">
        <v>1.175</v>
      </c>
      <c r="AT7" s="42">
        <v>1.175</v>
      </c>
      <c r="AU7" s="42">
        <v>1.175</v>
      </c>
      <c r="AV7" s="42">
        <v>1.175</v>
      </c>
      <c r="AW7" s="42">
        <v>1.175</v>
      </c>
      <c r="AX7" s="42">
        <v>1.175</v>
      </c>
      <c r="AY7" s="42">
        <v>1.175</v>
      </c>
      <c r="AZ7" s="42">
        <v>1.175</v>
      </c>
      <c r="BA7" s="42">
        <v>1.175</v>
      </c>
      <c r="BB7" s="42">
        <v>1.175</v>
      </c>
      <c r="BC7" s="42">
        <v>1.175</v>
      </c>
    </row>
    <row r="8" ht="15" customHeight="1">
      <c r="A8" s="19" t="s">
        <v>240</v>
      </c>
      <c r="B8" s="19" t="s">
        <v>156</v>
      </c>
      <c r="C8" s="19" t="s">
        <v>141</v>
      </c>
      <c r="D8" s="19" t="s">
        <v>389</v>
      </c>
      <c r="E8" s="19" t="s">
        <v>390</v>
      </c>
      <c r="F8" s="19" t="s">
        <v>391</v>
      </c>
      <c r="G8" s="42">
        <v>0.6</v>
      </c>
      <c r="H8" s="42">
        <v>0.6093</v>
      </c>
      <c r="I8" s="42">
        <v>0.6168</v>
      </c>
      <c r="J8" s="42">
        <v>0.6212</v>
      </c>
      <c r="K8" s="42">
        <v>0.6217</v>
      </c>
      <c r="L8" s="42">
        <v>0.6181</v>
      </c>
      <c r="M8" s="42">
        <v>0.6112</v>
      </c>
      <c r="N8" s="42">
        <v>0.6022</v>
      </c>
      <c r="O8" s="42">
        <v>0.5927</v>
      </c>
      <c r="P8" s="42">
        <v>0.5847</v>
      </c>
      <c r="Q8" s="42">
        <v>0.5794</v>
      </c>
      <c r="R8" s="42">
        <v>0.5781</v>
      </c>
      <c r="S8" s="42">
        <v>0.5807</v>
      </c>
      <c r="T8" s="42">
        <v>0.587</v>
      </c>
      <c r="U8" s="42">
        <v>0.5957</v>
      </c>
      <c r="V8" s="42">
        <v>0.6052</v>
      </c>
      <c r="W8" s="42">
        <v>0.6137</v>
      </c>
      <c r="X8" s="42">
        <v>0.6197</v>
      </c>
      <c r="Y8" s="42">
        <v>0.622</v>
      </c>
      <c r="Z8" s="42">
        <v>0.6202</v>
      </c>
      <c r="AA8" s="42">
        <v>0.6147</v>
      </c>
      <c r="AB8" s="42">
        <v>0.6064</v>
      </c>
      <c r="AC8" s="42">
        <v>0.5969</v>
      </c>
      <c r="AD8" s="42">
        <v>0.588</v>
      </c>
      <c r="AE8" s="43"/>
      <c r="AF8" s="42">
        <v>0.61</v>
      </c>
      <c r="AG8" s="42">
        <v>0.61</v>
      </c>
      <c r="AH8" s="42">
        <v>0.61</v>
      </c>
      <c r="AI8" s="42">
        <v>0.61</v>
      </c>
      <c r="AJ8" s="42">
        <v>0.61</v>
      </c>
      <c r="AK8" s="42">
        <v>0.61</v>
      </c>
      <c r="AL8" s="42">
        <v>0.61</v>
      </c>
      <c r="AM8" s="42">
        <v>0.61</v>
      </c>
      <c r="AN8" s="42">
        <v>0.61</v>
      </c>
      <c r="AO8" s="42">
        <v>0.61</v>
      </c>
      <c r="AP8" s="42">
        <v>0.61</v>
      </c>
      <c r="AQ8" s="42">
        <v>0.61</v>
      </c>
      <c r="AR8" s="42">
        <v>0.61</v>
      </c>
      <c r="AS8" s="42">
        <v>0.61</v>
      </c>
      <c r="AT8" s="42">
        <v>0.61</v>
      </c>
      <c r="AU8" s="42">
        <v>0.61</v>
      </c>
      <c r="AV8" s="42">
        <v>0.61</v>
      </c>
      <c r="AW8" s="42">
        <v>0.61</v>
      </c>
      <c r="AX8" s="42">
        <v>0.61</v>
      </c>
      <c r="AY8" s="42">
        <v>0.61</v>
      </c>
      <c r="AZ8" s="42">
        <v>0.61</v>
      </c>
      <c r="BA8" s="42">
        <v>0.61</v>
      </c>
      <c r="BB8" s="42">
        <v>0.61</v>
      </c>
      <c r="BC8" s="42">
        <v>0.61</v>
      </c>
    </row>
    <row r="9" ht="15" customHeight="1">
      <c r="A9" s="19" t="s">
        <v>240</v>
      </c>
      <c r="B9" s="19" t="s">
        <v>156</v>
      </c>
      <c r="C9" s="19" t="s">
        <v>141</v>
      </c>
      <c r="D9" s="19" t="s">
        <v>392</v>
      </c>
      <c r="E9" s="19" t="s">
        <v>393</v>
      </c>
      <c r="F9" s="19" t="s">
        <v>391</v>
      </c>
      <c r="G9" s="42">
        <v>0.612</v>
      </c>
      <c r="H9" s="42">
        <v>0.618</v>
      </c>
      <c r="I9" s="42">
        <v>0.6189</v>
      </c>
      <c r="J9" s="42">
        <v>0.6193</v>
      </c>
      <c r="K9" s="42">
        <v>0.6221</v>
      </c>
      <c r="L9" s="42">
        <v>0.6251</v>
      </c>
      <c r="M9" s="42">
        <v>0.6229</v>
      </c>
      <c r="N9" s="42">
        <v>0.6124</v>
      </c>
      <c r="O9" s="42">
        <v>0.5967</v>
      </c>
      <c r="P9" s="42">
        <v>0.5833</v>
      </c>
      <c r="Q9" s="42">
        <v>0.5786</v>
      </c>
      <c r="R9" s="42">
        <v>0.5831</v>
      </c>
      <c r="S9" s="42">
        <v>0.5917</v>
      </c>
      <c r="T9" s="42">
        <v>0.5984</v>
      </c>
      <c r="U9" s="42">
        <v>0.6017</v>
      </c>
      <c r="V9" s="42">
        <v>0.6049</v>
      </c>
      <c r="W9" s="42">
        <v>0.612</v>
      </c>
      <c r="X9" s="42">
        <v>0.6228</v>
      </c>
      <c r="Y9" s="42">
        <v>0.6316</v>
      </c>
      <c r="Z9" s="42">
        <v>0.6321</v>
      </c>
      <c r="AA9" s="42">
        <v>0.6225</v>
      </c>
      <c r="AB9" s="42">
        <v>0.6075</v>
      </c>
      <c r="AC9" s="42">
        <v>0.5949</v>
      </c>
      <c r="AD9" s="42">
        <v>0.5893</v>
      </c>
      <c r="AE9" s="43"/>
      <c r="AF9" s="42">
        <v>0.61</v>
      </c>
      <c r="AG9" s="42">
        <v>0.61</v>
      </c>
      <c r="AH9" s="42">
        <v>0.61</v>
      </c>
      <c r="AI9" s="42">
        <v>0.61</v>
      </c>
      <c r="AJ9" s="42">
        <v>0.61</v>
      </c>
      <c r="AK9" s="42">
        <v>0.61</v>
      </c>
      <c r="AL9" s="42">
        <v>0.61</v>
      </c>
      <c r="AM9" s="42">
        <v>0.61</v>
      </c>
      <c r="AN9" s="42">
        <v>0.61</v>
      </c>
      <c r="AO9" s="42">
        <v>0.61</v>
      </c>
      <c r="AP9" s="42">
        <v>0.61</v>
      </c>
      <c r="AQ9" s="42">
        <v>0.61</v>
      </c>
      <c r="AR9" s="42">
        <v>0.61</v>
      </c>
      <c r="AS9" s="42">
        <v>0.61</v>
      </c>
      <c r="AT9" s="42">
        <v>0.61</v>
      </c>
      <c r="AU9" s="42">
        <v>0.61</v>
      </c>
      <c r="AV9" s="42">
        <v>0.61</v>
      </c>
      <c r="AW9" s="42">
        <v>0.61</v>
      </c>
      <c r="AX9" s="42">
        <v>0.61</v>
      </c>
      <c r="AY9" s="42">
        <v>0.61</v>
      </c>
      <c r="AZ9" s="42">
        <v>0.61</v>
      </c>
      <c r="BA9" s="42">
        <v>0.61</v>
      </c>
      <c r="BB9" s="42">
        <v>0.61</v>
      </c>
      <c r="BC9" s="42">
        <v>0.61</v>
      </c>
    </row>
    <row r="10" ht="1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ht="1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ht="15" customHeight="1">
      <c r="A12" s="15" t="s">
        <v>394</v>
      </c>
      <c r="B12" s="15"/>
      <c r="C12" s="15"/>
      <c r="D12" s="15"/>
      <c r="E12" s="15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</row>
    <row r="13" ht="15" customHeight="1">
      <c r="A13" s="44" t="s">
        <v>395</v>
      </c>
      <c r="B13" s="44" t="s">
        <v>396</v>
      </c>
      <c r="C13" s="44" t="s">
        <v>397</v>
      </c>
      <c r="D13" s="44" t="s">
        <v>398</v>
      </c>
      <c r="E13" s="44" t="s">
        <v>399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</row>
    <row r="14" ht="15" customHeight="1">
      <c r="A14" s="19" t="s">
        <v>400</v>
      </c>
      <c r="B14" s="19" t="s">
        <v>401</v>
      </c>
      <c r="C14" s="45" t="s">
        <v>402</v>
      </c>
      <c r="D14" s="19" t="s">
        <v>403</v>
      </c>
      <c r="E14" s="19" t="s">
        <v>404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</row>
    <row r="15" ht="15" customHeight="1">
      <c r="A15" s="19" t="s">
        <v>405</v>
      </c>
      <c r="B15" s="19" t="s">
        <v>401</v>
      </c>
      <c r="C15" s="45" t="s">
        <v>406</v>
      </c>
      <c r="D15" s="19" t="s">
        <v>403</v>
      </c>
      <c r="E15" s="19" t="s">
        <v>404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</row>
    <row r="16" ht="15" customHeight="1">
      <c r="A16" s="19" t="s">
        <v>407</v>
      </c>
      <c r="B16" s="19" t="s">
        <v>408</v>
      </c>
      <c r="C16" s="45" t="s">
        <v>409</v>
      </c>
      <c r="D16" s="19" t="s">
        <v>410</v>
      </c>
      <c r="E16" s="19" t="s">
        <v>404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</row>
    <row r="17" ht="15" customHeight="1">
      <c r="A17" s="19" t="s">
        <v>411</v>
      </c>
      <c r="B17" s="19" t="s">
        <v>412</v>
      </c>
      <c r="C17" s="45" t="s">
        <v>413</v>
      </c>
      <c r="D17" s="19" t="s">
        <v>410</v>
      </c>
      <c r="E17" s="19" t="s">
        <v>404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</row>
    <row r="18" ht="15" customHeight="1">
      <c r="A18" s="19" t="s">
        <v>414</v>
      </c>
      <c r="B18" s="19" t="s">
        <v>415</v>
      </c>
      <c r="C18" s="45" t="s">
        <v>416</v>
      </c>
      <c r="D18" s="19" t="s">
        <v>403</v>
      </c>
      <c r="E18" s="19" t="s">
        <v>404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</row>
    <row r="19" ht="15" customHeight="1">
      <c r="A19" s="19" t="s">
        <v>417</v>
      </c>
      <c r="B19" s="19" t="s">
        <v>415</v>
      </c>
      <c r="C19" s="45" t="s">
        <v>418</v>
      </c>
      <c r="D19" s="19" t="s">
        <v>419</v>
      </c>
      <c r="E19" s="19" t="s">
        <v>404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</row>
    <row r="20" ht="15" customHeight="1">
      <c r="A20" s="19" t="s">
        <v>420</v>
      </c>
      <c r="B20" s="19" t="s">
        <v>421</v>
      </c>
      <c r="C20" s="45" t="s">
        <v>422</v>
      </c>
      <c r="D20" s="19" t="s">
        <v>403</v>
      </c>
      <c r="E20" s="19" t="s">
        <v>404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</row>
    <row r="21" ht="15" customHeight="1">
      <c r="A21" s="19" t="s">
        <v>423</v>
      </c>
      <c r="B21" s="19" t="s">
        <v>408</v>
      </c>
      <c r="C21" s="45" t="s">
        <v>424</v>
      </c>
      <c r="D21" s="19" t="s">
        <v>410</v>
      </c>
      <c r="E21" s="19" t="s">
        <v>404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</row>
    <row r="22" ht="15" customHeight="1">
      <c r="A22" s="19" t="s">
        <v>425</v>
      </c>
      <c r="B22" s="19" t="s">
        <v>426</v>
      </c>
      <c r="C22" s="45" t="s">
        <v>427</v>
      </c>
      <c r="D22" s="19" t="s">
        <v>428</v>
      </c>
      <c r="E22" s="19" t="s">
        <v>404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f2388395-8ce7-4cf1-9842-23ea259bdc7b</vt:lpwstr>
  </property>
</Properties>
</file>