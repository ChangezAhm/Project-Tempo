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g\NewProject\"/>
    </mc:Choice>
  </mc:AlternateContent>
  <xr:revisionPtr revIDLastSave="0" documentId="8_{7E13615C-BE4C-463A-B2E0-0F90A637D77E}" xr6:coauthVersionLast="47" xr6:coauthVersionMax="47" xr10:uidLastSave="{00000000-0000-0000-0000-000000000000}"/>
  <bookViews>
    <workbookView xWindow="-5550" yWindow="-21720" windowWidth="38640" windowHeight="21120" xr2:uid="{00000000-000D-0000-FFFF-FFFF00000000}"/>
  </bookViews>
  <sheets>
    <sheet name="P&amp;L" sheetId="1" r:id="rId1"/>
    <sheet name="BS" sheetId="2" r:id="rId2"/>
    <sheet name="Cash-Flow" sheetId="3" r:id="rId3"/>
    <sheet name="KPI" sheetId="4" r:id="rId4"/>
    <sheet name="Debt-Ratio" sheetId="5" r:id="rId5"/>
    <sheet name="Debt-Overview" sheetId="6" r:id="rId6"/>
    <sheet name="Adjustment-Types" sheetId="7" r:id="rId7"/>
    <sheet name="Input-Summ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0" i="1"/>
  <c r="C25" i="4"/>
  <c r="D25" i="4"/>
  <c r="E25" i="4"/>
  <c r="F25" i="4"/>
  <c r="G25" i="4"/>
  <c r="H25" i="4"/>
  <c r="I25" i="4"/>
  <c r="J25" i="4"/>
  <c r="K25" i="4"/>
  <c r="L25" i="4"/>
  <c r="M25" i="4"/>
  <c r="N6" i="5" a="1"/>
  <c r="N6" i="5"/>
  <c r="N7" i="5" a="1"/>
  <c r="N7" i="5"/>
  <c r="N13" i="5" a="1"/>
  <c r="N13" i="5"/>
  <c r="N16" i="5" a="1"/>
  <c r="N16" i="5"/>
  <c r="N26" i="5" l="1"/>
  <c r="N44" i="5"/>
  <c r="D10" i="1"/>
  <c r="E10" i="1"/>
  <c r="F10" i="1"/>
  <c r="G10" i="1"/>
  <c r="H10" i="1"/>
  <c r="I10" i="1"/>
  <c r="I16" i="1" s="1"/>
  <c r="I36" i="1" s="1"/>
  <c r="I43" i="1" s="1"/>
  <c r="J10" i="1"/>
  <c r="J16" i="1" s="1"/>
  <c r="J36" i="1" s="1"/>
  <c r="J43" i="1" s="1"/>
  <c r="K10" i="1"/>
  <c r="L10" i="1"/>
  <c r="M10" i="1"/>
  <c r="N10" i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F26" i="6" a="1"/>
  <c r="F26" i="6" s="1"/>
  <c r="E26" i="6" a="1"/>
  <c r="E26" i="6"/>
  <c r="D26" i="6" a="1"/>
  <c r="D26" i="6" s="1"/>
  <c r="C26" i="6" a="1"/>
  <c r="C26" i="6" s="1"/>
  <c r="M22" i="6"/>
  <c r="L22" i="6"/>
  <c r="K22" i="6"/>
  <c r="J22" i="6"/>
  <c r="I22" i="6"/>
  <c r="H22" i="6"/>
  <c r="G22" i="6"/>
  <c r="F22" i="6"/>
  <c r="E22" i="6"/>
  <c r="D22" i="6"/>
  <c r="C22" i="6"/>
  <c r="M16" i="6"/>
  <c r="L16" i="6"/>
  <c r="K16" i="6"/>
  <c r="J16" i="6"/>
  <c r="I16" i="6"/>
  <c r="H16" i="6"/>
  <c r="G16" i="6"/>
  <c r="F16" i="6"/>
  <c r="E16" i="6"/>
  <c r="D16" i="6"/>
  <c r="C16" i="6"/>
  <c r="M11" i="6"/>
  <c r="M33" i="6" s="1"/>
  <c r="L11" i="6"/>
  <c r="L33" i="6" s="1"/>
  <c r="K11" i="6"/>
  <c r="J11" i="6"/>
  <c r="J33" i="6" s="1"/>
  <c r="I11" i="6"/>
  <c r="H11" i="6"/>
  <c r="G11" i="6"/>
  <c r="F11" i="6"/>
  <c r="F33" i="6" s="1"/>
  <c r="E11" i="6"/>
  <c r="E33" i="6" s="1"/>
  <c r="D11" i="6"/>
  <c r="D33" i="6" s="1"/>
  <c r="C11" i="6"/>
  <c r="M8" i="6"/>
  <c r="L8" i="6"/>
  <c r="K8" i="6"/>
  <c r="J8" i="6"/>
  <c r="I8" i="6"/>
  <c r="H8" i="6"/>
  <c r="G8" i="6"/>
  <c r="F8" i="6"/>
  <c r="E8" i="6"/>
  <c r="D8" i="6"/>
  <c r="C8" i="6"/>
  <c r="N43" i="5"/>
  <c r="M43" i="5"/>
  <c r="L43" i="5"/>
  <c r="K43" i="5"/>
  <c r="J43" i="5"/>
  <c r="I43" i="5"/>
  <c r="H43" i="5"/>
  <c r="G43" i="5"/>
  <c r="F43" i="5"/>
  <c r="E43" i="5"/>
  <c r="D43" i="5"/>
  <c r="C43" i="5"/>
  <c r="N35" i="5"/>
  <c r="M35" i="5"/>
  <c r="L35" i="5"/>
  <c r="K35" i="5"/>
  <c r="J35" i="5"/>
  <c r="I35" i="5"/>
  <c r="H35" i="5"/>
  <c r="G35" i="5"/>
  <c r="F35" i="5"/>
  <c r="E35" i="5"/>
  <c r="D35" i="5"/>
  <c r="C35" i="5"/>
  <c r="L34" i="5" a="1"/>
  <c r="L34" i="5" s="1"/>
  <c r="L36" i="5" s="1"/>
  <c r="G34" i="5" a="1"/>
  <c r="G34" i="5" s="1"/>
  <c r="G36" i="5" s="1"/>
  <c r="M16" i="5" a="1"/>
  <c r="M16" i="5" s="1"/>
  <c r="M44" i="5" s="1"/>
  <c r="L16" i="5" a="1"/>
  <c r="L16" i="5"/>
  <c r="L44" i="5" s="1"/>
  <c r="K16" i="5" a="1"/>
  <c r="K16" i="5" s="1"/>
  <c r="K44" i="5" s="1"/>
  <c r="J16" i="5" a="1"/>
  <c r="J16" i="5" s="1"/>
  <c r="J44" i="5" s="1"/>
  <c r="I16" i="5" a="1"/>
  <c r="I16" i="5" s="1"/>
  <c r="I44" i="5" s="1"/>
  <c r="H16" i="5" a="1"/>
  <c r="H16" i="5"/>
  <c r="H44" i="5" s="1"/>
  <c r="G16" i="5" a="1"/>
  <c r="G16" i="5" s="1"/>
  <c r="G44" i="5" s="1"/>
  <c r="F16" i="5" a="1"/>
  <c r="F16" i="5" s="1"/>
  <c r="F44" i="5" s="1"/>
  <c r="E16" i="5" a="1"/>
  <c r="E16" i="5" s="1"/>
  <c r="E44" i="5" s="1"/>
  <c r="D16" i="5" a="1"/>
  <c r="D16" i="5"/>
  <c r="D44" i="5" s="1"/>
  <c r="C16" i="5" a="1"/>
  <c r="C16" i="5" s="1"/>
  <c r="C44" i="5" s="1"/>
  <c r="M7" i="5" a="1"/>
  <c r="M7" i="5" s="1"/>
  <c r="L7" i="5" a="1"/>
  <c r="L7" i="5"/>
  <c r="K7" i="5" a="1"/>
  <c r="K7" i="5" s="1"/>
  <c r="J7" i="5" a="1"/>
  <c r="J7" i="5" s="1"/>
  <c r="I7" i="5" a="1"/>
  <c r="I7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C7" i="5" a="1"/>
  <c r="C7" i="5" s="1"/>
  <c r="N29" i="3"/>
  <c r="M29" i="3"/>
  <c r="L29" i="3"/>
  <c r="K29" i="3"/>
  <c r="J29" i="3"/>
  <c r="I29" i="3"/>
  <c r="H29" i="3"/>
  <c r="G29" i="3"/>
  <c r="F29" i="3"/>
  <c r="E29" i="3"/>
  <c r="D29" i="3"/>
  <c r="C29" i="3"/>
  <c r="N28" i="3"/>
  <c r="M28" i="3"/>
  <c r="L28" i="3"/>
  <c r="K28" i="3"/>
  <c r="J28" i="3"/>
  <c r="I28" i="3"/>
  <c r="H28" i="3"/>
  <c r="G28" i="3"/>
  <c r="F28" i="3"/>
  <c r="E28" i="3"/>
  <c r="D28" i="3"/>
  <c r="C28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3" i="3"/>
  <c r="N32" i="3" s="1"/>
  <c r="N36" i="3" s="1"/>
  <c r="M13" i="3"/>
  <c r="M32" i="3" s="1"/>
  <c r="M36" i="3" s="1"/>
  <c r="L13" i="3"/>
  <c r="K13" i="3"/>
  <c r="J13" i="3"/>
  <c r="I13" i="3"/>
  <c r="H13" i="3"/>
  <c r="H32" i="3" s="1"/>
  <c r="H36" i="3" s="1"/>
  <c r="G13" i="3"/>
  <c r="F13" i="3"/>
  <c r="F32" i="3" s="1"/>
  <c r="F36" i="3" s="1"/>
  <c r="E13" i="3"/>
  <c r="D13" i="3"/>
  <c r="D32" i="3" s="1"/>
  <c r="D36" i="3" s="1"/>
  <c r="C13" i="3"/>
  <c r="N12" i="3"/>
  <c r="N34" i="5" s="1" a="1"/>
  <c r="N34" i="5" s="1"/>
  <c r="N36" i="5" s="1"/>
  <c r="M12" i="3"/>
  <c r="M34" i="5" s="1" a="1"/>
  <c r="M34" i="5" s="1"/>
  <c r="M36" i="5" s="1"/>
  <c r="L12" i="3"/>
  <c r="L31" i="3" s="1"/>
  <c r="L35" i="3" s="1"/>
  <c r="K12" i="3"/>
  <c r="K34" i="5" s="1" a="1"/>
  <c r="K34" i="5" s="1"/>
  <c r="K36" i="5" s="1"/>
  <c r="J12" i="3"/>
  <c r="I12" i="3"/>
  <c r="I31" i="3" s="1"/>
  <c r="I35" i="3" s="1"/>
  <c r="H12" i="3"/>
  <c r="G12" i="3"/>
  <c r="G31" i="3" s="1"/>
  <c r="G35" i="3" s="1"/>
  <c r="F12" i="3"/>
  <c r="F34" i="5" s="1" a="1"/>
  <c r="F34" i="5" s="1"/>
  <c r="F36" i="5" s="1"/>
  <c r="E12" i="3"/>
  <c r="E34" i="5" s="1" a="1"/>
  <c r="E34" i="5" s="1"/>
  <c r="E36" i="5" s="1"/>
  <c r="D12" i="3"/>
  <c r="D31" i="3" s="1"/>
  <c r="D35" i="3" s="1"/>
  <c r="C12" i="3"/>
  <c r="C34" i="5" s="1" a="1"/>
  <c r="C34" i="5" s="1"/>
  <c r="C36" i="5" s="1"/>
  <c r="N34" i="2"/>
  <c r="N39" i="2" s="1"/>
  <c r="M34" i="2"/>
  <c r="M39" i="2" s="1"/>
  <c r="L34" i="2"/>
  <c r="L39" i="2" s="1"/>
  <c r="K34" i="2"/>
  <c r="K39" i="2" s="1"/>
  <c r="J34" i="2"/>
  <c r="J39" i="2" s="1"/>
  <c r="I34" i="2"/>
  <c r="I39" i="2" s="1"/>
  <c r="H34" i="2"/>
  <c r="H39" i="2" s="1"/>
  <c r="G34" i="2"/>
  <c r="G39" i="2" s="1"/>
  <c r="F34" i="2"/>
  <c r="F39" i="2" s="1"/>
  <c r="E34" i="2"/>
  <c r="E39" i="2" s="1"/>
  <c r="D34" i="2"/>
  <c r="D39" i="2" s="1"/>
  <c r="C34" i="2"/>
  <c r="C39" i="2" s="1"/>
  <c r="N33" i="2"/>
  <c r="N38" i="2" s="1"/>
  <c r="M33" i="2"/>
  <c r="M38" i="2" s="1"/>
  <c r="L33" i="2"/>
  <c r="L38" i="2" s="1"/>
  <c r="K33" i="2"/>
  <c r="K38" i="2" s="1"/>
  <c r="J33" i="2"/>
  <c r="J38" i="2" s="1"/>
  <c r="I33" i="2"/>
  <c r="I38" i="2" s="1"/>
  <c r="H33" i="2"/>
  <c r="H38" i="2" s="1"/>
  <c r="G33" i="2"/>
  <c r="G38" i="2" s="1"/>
  <c r="F33" i="2"/>
  <c r="F38" i="2" s="1"/>
  <c r="E33" i="2"/>
  <c r="E38" i="2" s="1"/>
  <c r="D33" i="2"/>
  <c r="D38" i="2" s="1"/>
  <c r="C33" i="2"/>
  <c r="C38" i="2" s="1"/>
  <c r="N15" i="2"/>
  <c r="N24" i="2" s="1"/>
  <c r="M15" i="2"/>
  <c r="M24" i="2" s="1"/>
  <c r="M43" i="2" s="1"/>
  <c r="L15" i="2"/>
  <c r="L24" i="2" s="1"/>
  <c r="K15" i="2"/>
  <c r="K24" i="2" s="1"/>
  <c r="J15" i="2"/>
  <c r="J24" i="2" s="1"/>
  <c r="I15" i="2"/>
  <c r="I24" i="2" s="1"/>
  <c r="H15" i="2"/>
  <c r="H24" i="2" s="1"/>
  <c r="G15" i="2"/>
  <c r="G24" i="2" s="1"/>
  <c r="F15" i="2"/>
  <c r="F24" i="2" s="1"/>
  <c r="F43" i="2" s="1"/>
  <c r="E15" i="2"/>
  <c r="E24" i="2" s="1"/>
  <c r="E43" i="2" s="1"/>
  <c r="D15" i="2"/>
  <c r="D24" i="2" s="1"/>
  <c r="C15" i="2"/>
  <c r="C24" i="2" s="1"/>
  <c r="N14" i="2"/>
  <c r="N23" i="2" s="1"/>
  <c r="M14" i="2"/>
  <c r="M23" i="2" s="1"/>
  <c r="L14" i="2"/>
  <c r="L23" i="2" s="1"/>
  <c r="K14" i="2"/>
  <c r="K23" i="2" s="1"/>
  <c r="J14" i="2"/>
  <c r="J23" i="2" s="1"/>
  <c r="I14" i="2"/>
  <c r="I23" i="2" s="1"/>
  <c r="I42" i="2" s="1"/>
  <c r="H14" i="2"/>
  <c r="H23" i="2" s="1"/>
  <c r="G14" i="2"/>
  <c r="G23" i="2" s="1"/>
  <c r="F14" i="2"/>
  <c r="F23" i="2" s="1"/>
  <c r="E14" i="2"/>
  <c r="E23" i="2" s="1"/>
  <c r="D14" i="2"/>
  <c r="D23" i="2" s="1"/>
  <c r="C14" i="2"/>
  <c r="C23" i="2" s="1"/>
  <c r="C42" i="2" s="1"/>
  <c r="N28" i="1"/>
  <c r="M28" i="1"/>
  <c r="L28" i="1"/>
  <c r="K28" i="1"/>
  <c r="J28" i="1"/>
  <c r="I28" i="1"/>
  <c r="H28" i="1"/>
  <c r="G28" i="1"/>
  <c r="F28" i="1"/>
  <c r="E28" i="1"/>
  <c r="D28" i="1"/>
  <c r="C28" i="1"/>
  <c r="O27" i="1"/>
  <c r="O26" i="1"/>
  <c r="O25" i="1"/>
  <c r="O24" i="1"/>
  <c r="O23" i="1"/>
  <c r="O22" i="1"/>
  <c r="O21" i="1"/>
  <c r="O20" i="1"/>
  <c r="N16" i="1"/>
  <c r="N36" i="1" s="1"/>
  <c r="N43" i="1" s="1"/>
  <c r="M16" i="1"/>
  <c r="M36" i="1" s="1"/>
  <c r="M43" i="1" s="1"/>
  <c r="L16" i="1"/>
  <c r="L36" i="1" s="1"/>
  <c r="L43" i="1" s="1"/>
  <c r="L45" i="1" s="1"/>
  <c r="L47" i="1" s="1"/>
  <c r="K16" i="1"/>
  <c r="K36" i="1" s="1"/>
  <c r="K43" i="1" s="1"/>
  <c r="H16" i="1"/>
  <c r="H36" i="1" s="1"/>
  <c r="H43" i="1" s="1"/>
  <c r="G16" i="1"/>
  <c r="G36" i="1" s="1"/>
  <c r="G43" i="1" s="1"/>
  <c r="F16" i="1"/>
  <c r="F36" i="1" s="1"/>
  <c r="F43" i="1" s="1"/>
  <c r="E16" i="1"/>
  <c r="E36" i="1" s="1"/>
  <c r="E43" i="1" s="1"/>
  <c r="D16" i="1"/>
  <c r="D36" i="1" s="1"/>
  <c r="D43" i="1" s="1"/>
  <c r="C36" i="1"/>
  <c r="C43" i="1" s="1"/>
  <c r="N9" i="1"/>
  <c r="N15" i="1" s="1"/>
  <c r="M9" i="1"/>
  <c r="M15" i="1" s="1"/>
  <c r="L9" i="1"/>
  <c r="L15" i="1" s="1"/>
  <c r="K9" i="1"/>
  <c r="K15" i="1" s="1"/>
  <c r="J9" i="1"/>
  <c r="J15" i="1" s="1"/>
  <c r="I9" i="1"/>
  <c r="I15" i="1" s="1"/>
  <c r="H9" i="1"/>
  <c r="H15" i="1" s="1"/>
  <c r="H13" i="5" s="1" a="1"/>
  <c r="H13" i="5" s="1"/>
  <c r="G9" i="1"/>
  <c r="G15" i="1" s="1"/>
  <c r="G13" i="5" s="1" a="1"/>
  <c r="G13" i="5" s="1"/>
  <c r="F9" i="1"/>
  <c r="F15" i="1" s="1"/>
  <c r="E9" i="1"/>
  <c r="E15" i="1" s="1"/>
  <c r="D9" i="1"/>
  <c r="D15" i="1" s="1"/>
  <c r="C9" i="1"/>
  <c r="C15" i="1" s="1"/>
  <c r="K32" i="3" l="1"/>
  <c r="K36" i="3" s="1"/>
  <c r="J32" i="3"/>
  <c r="J36" i="3" s="1"/>
  <c r="C32" i="3"/>
  <c r="C36" i="3" s="1"/>
  <c r="I32" i="3"/>
  <c r="I36" i="3" s="1"/>
  <c r="G32" i="3"/>
  <c r="G36" i="3" s="1"/>
  <c r="N29" i="5"/>
  <c r="N28" i="5"/>
  <c r="N37" i="5" s="1"/>
  <c r="F25" i="6"/>
  <c r="F27" i="6" s="1"/>
  <c r="I25" i="6"/>
  <c r="I6" i="5" s="1" a="1"/>
  <c r="I6" i="5" s="1"/>
  <c r="I8" i="5" s="1"/>
  <c r="I10" i="5" s="1"/>
  <c r="K25" i="6"/>
  <c r="K27" i="6" s="1"/>
  <c r="G25" i="6"/>
  <c r="G27" i="6" s="1"/>
  <c r="H25" i="6"/>
  <c r="H27" i="6" s="1"/>
  <c r="C25" i="6"/>
  <c r="C6" i="5" s="1" a="1"/>
  <c r="C6" i="5" s="1"/>
  <c r="J25" i="6"/>
  <c r="J27" i="6" s="1"/>
  <c r="D25" i="6"/>
  <c r="D6" i="5" s="1" a="1"/>
  <c r="D6" i="5" s="1"/>
  <c r="D8" i="5" s="1"/>
  <c r="D10" i="5" s="1"/>
  <c r="L25" i="6"/>
  <c r="H31" i="3"/>
  <c r="H35" i="3" s="1"/>
  <c r="L32" i="3"/>
  <c r="L36" i="3" s="1"/>
  <c r="E32" i="3"/>
  <c r="E36" i="3" s="1"/>
  <c r="D34" i="5" a="1"/>
  <c r="D34" i="5" s="1"/>
  <c r="D36" i="5" s="1"/>
  <c r="M42" i="2"/>
  <c r="E42" i="2"/>
  <c r="L43" i="2"/>
  <c r="D43" i="2"/>
  <c r="J42" i="2"/>
  <c r="J44" i="2" s="1"/>
  <c r="N43" i="2"/>
  <c r="N45" i="2" s="1"/>
  <c r="I43" i="2"/>
  <c r="I45" i="2" s="1"/>
  <c r="H42" i="2"/>
  <c r="H44" i="2" s="1"/>
  <c r="K42" i="2"/>
  <c r="K44" i="2" s="1"/>
  <c r="G43" i="2"/>
  <c r="L45" i="2"/>
  <c r="E44" i="2"/>
  <c r="I29" i="1"/>
  <c r="J35" i="1" s="1"/>
  <c r="J42" i="1" s="1"/>
  <c r="J44" i="1" s="1"/>
  <c r="J46" i="1" s="1"/>
  <c r="F29" i="1"/>
  <c r="G35" i="1" s="1"/>
  <c r="G42" i="1" s="1"/>
  <c r="G44" i="1" s="1"/>
  <c r="G46" i="1" s="1"/>
  <c r="N29" i="1"/>
  <c r="O28" i="1"/>
  <c r="F45" i="1"/>
  <c r="F47" i="1" s="1"/>
  <c r="J13" i="5" a="1"/>
  <c r="J13" i="5" s="1"/>
  <c r="J29" i="1"/>
  <c r="H45" i="1"/>
  <c r="H47" i="1" s="1"/>
  <c r="N45" i="1"/>
  <c r="N47" i="1" s="1"/>
  <c r="F45" i="2"/>
  <c r="C13" i="5" a="1"/>
  <c r="C13" i="5" s="1"/>
  <c r="C29" i="1"/>
  <c r="C35" i="1"/>
  <c r="C42" i="1" s="1"/>
  <c r="C44" i="2"/>
  <c r="G45" i="2"/>
  <c r="D13" i="5" a="1"/>
  <c r="D13" i="5" s="1"/>
  <c r="D29" i="1"/>
  <c r="L13" i="5" a="1"/>
  <c r="L13" i="5" s="1"/>
  <c r="L29" i="1"/>
  <c r="E29" i="1"/>
  <c r="E13" i="5" a="1"/>
  <c r="E13" i="5" s="1"/>
  <c r="M13" i="5" a="1"/>
  <c r="M13" i="5" s="1"/>
  <c r="M29" i="1"/>
  <c r="M14" i="5" s="1" a="1"/>
  <c r="M14" i="5" s="1"/>
  <c r="I45" i="1"/>
  <c r="I47" i="1" s="1"/>
  <c r="M44" i="2"/>
  <c r="D45" i="1"/>
  <c r="D47" i="1" s="1"/>
  <c r="K45" i="1"/>
  <c r="K47" i="1" s="1"/>
  <c r="G45" i="1"/>
  <c r="G47" i="1" s="1"/>
  <c r="D45" i="2"/>
  <c r="D42" i="2"/>
  <c r="L42" i="2"/>
  <c r="L44" i="2" s="1"/>
  <c r="H43" i="2"/>
  <c r="H45" i="2" s="1"/>
  <c r="E31" i="3"/>
  <c r="E35" i="3" s="1"/>
  <c r="H34" i="5" a="1"/>
  <c r="H34" i="5" s="1"/>
  <c r="H36" i="5" s="1"/>
  <c r="I44" i="2"/>
  <c r="E45" i="2"/>
  <c r="F13" i="5" a="1"/>
  <c r="F13" i="5" s="1"/>
  <c r="C45" i="1"/>
  <c r="C47" i="1" s="1"/>
  <c r="J45" i="1"/>
  <c r="J47" i="1" s="1"/>
  <c r="J31" i="3"/>
  <c r="J35" i="3" s="1"/>
  <c r="J34" i="5" a="1"/>
  <c r="J34" i="5" s="1"/>
  <c r="J36" i="5" s="1"/>
  <c r="M45" i="1"/>
  <c r="M47" i="1" s="1"/>
  <c r="N42" i="2"/>
  <c r="N44" i="2" s="1"/>
  <c r="K31" i="3"/>
  <c r="K35" i="3" s="1"/>
  <c r="D44" i="2"/>
  <c r="E45" i="1"/>
  <c r="E47" i="1" s="1"/>
  <c r="N8" i="5"/>
  <c r="N10" i="5" s="1"/>
  <c r="N39" i="5"/>
  <c r="C31" i="3"/>
  <c r="C35" i="3" s="1"/>
  <c r="K13" i="5" a="1"/>
  <c r="K13" i="5" s="1"/>
  <c r="K29" i="1"/>
  <c r="M45" i="2"/>
  <c r="G29" i="1"/>
  <c r="F42" i="2"/>
  <c r="F44" i="2" s="1"/>
  <c r="J43" i="2"/>
  <c r="J45" i="2" s="1"/>
  <c r="H29" i="1"/>
  <c r="G42" i="2"/>
  <c r="G44" i="2" s="1"/>
  <c r="C43" i="2"/>
  <c r="C45" i="2" s="1"/>
  <c r="K43" i="2"/>
  <c r="K45" i="2" s="1"/>
  <c r="M31" i="3"/>
  <c r="M35" i="3" s="1"/>
  <c r="I13" i="5" a="1"/>
  <c r="I13" i="5" s="1"/>
  <c r="K6" i="5" a="1"/>
  <c r="K6" i="5" s="1"/>
  <c r="E25" i="6"/>
  <c r="M25" i="6"/>
  <c r="G33" i="6"/>
  <c r="G26" i="5" s="1"/>
  <c r="H33" i="6"/>
  <c r="F31" i="3"/>
  <c r="F35" i="3" s="1"/>
  <c r="N31" i="3"/>
  <c r="N35" i="3" s="1"/>
  <c r="I33" i="6"/>
  <c r="I26" i="5" s="1"/>
  <c r="I34" i="5" a="1"/>
  <c r="I34" i="5" s="1"/>
  <c r="I36" i="5" s="1"/>
  <c r="C33" i="6"/>
  <c r="K33" i="6"/>
  <c r="K26" i="5" s="1"/>
  <c r="F14" i="5" l="1" a="1"/>
  <c r="F14" i="5" s="1"/>
  <c r="I14" i="5" a="1"/>
  <c r="I14" i="5" s="1"/>
  <c r="I42" i="5" s="1"/>
  <c r="N35" i="1"/>
  <c r="N42" i="1" s="1"/>
  <c r="N44" i="1" s="1"/>
  <c r="N46" i="1" s="1"/>
  <c r="N14" i="5" a="1"/>
  <c r="N14" i="5" s="1"/>
  <c r="N30" i="5"/>
  <c r="I27" i="6"/>
  <c r="F6" i="5" a="1"/>
  <c r="F6" i="5" s="1"/>
  <c r="F8" i="5" s="1"/>
  <c r="F10" i="5" s="1"/>
  <c r="J6" i="5" a="1"/>
  <c r="J6" i="5" s="1"/>
  <c r="G6" i="5" a="1"/>
  <c r="G6" i="5" s="1"/>
  <c r="G39" i="5" s="1"/>
  <c r="F26" i="5"/>
  <c r="F28" i="5" s="1"/>
  <c r="F30" i="5" s="1"/>
  <c r="C27" i="6"/>
  <c r="H26" i="5"/>
  <c r="H28" i="5" s="1"/>
  <c r="J26" i="5"/>
  <c r="J28" i="5" s="1"/>
  <c r="H6" i="5" a="1"/>
  <c r="H6" i="5" s="1"/>
  <c r="D27" i="6"/>
  <c r="C26" i="5"/>
  <c r="F39" i="5"/>
  <c r="L27" i="6"/>
  <c r="L6" i="5" a="1"/>
  <c r="L6" i="5" s="1"/>
  <c r="D39" i="5"/>
  <c r="L26" i="5"/>
  <c r="L28" i="5" s="1"/>
  <c r="L37" i="5" s="1"/>
  <c r="D26" i="5"/>
  <c r="D28" i="5" s="1"/>
  <c r="D37" i="5" s="1"/>
  <c r="I45" i="5"/>
  <c r="N31" i="5"/>
  <c r="I19" i="5"/>
  <c r="I38" i="5"/>
  <c r="I28" i="5"/>
  <c r="I29" i="5"/>
  <c r="I31" i="5"/>
  <c r="G28" i="5"/>
  <c r="K28" i="5"/>
  <c r="F35" i="1"/>
  <c r="F42" i="1" s="1"/>
  <c r="E14" i="5" a="1"/>
  <c r="E14" i="5" s="1"/>
  <c r="M26" i="5"/>
  <c r="M27" i="6"/>
  <c r="M6" i="5" a="1"/>
  <c r="M6" i="5" s="1"/>
  <c r="H39" i="5"/>
  <c r="H8" i="5"/>
  <c r="H10" i="5" s="1"/>
  <c r="C44" i="1"/>
  <c r="C46" i="1" s="1"/>
  <c r="C39" i="5"/>
  <c r="C8" i="5"/>
  <c r="C10" i="5" s="1"/>
  <c r="H14" i="5" a="1"/>
  <c r="H14" i="5" s="1"/>
  <c r="I35" i="1"/>
  <c r="I42" i="1" s="1"/>
  <c r="N42" i="5"/>
  <c r="N38" i="5"/>
  <c r="N19" i="5"/>
  <c r="N20" i="5"/>
  <c r="C14" i="5" a="1"/>
  <c r="C14" i="5" s="1"/>
  <c r="D35" i="1"/>
  <c r="D42" i="1" s="1"/>
  <c r="O29" i="1"/>
  <c r="I39" i="5"/>
  <c r="L14" i="5" a="1"/>
  <c r="L14" i="5" s="1"/>
  <c r="M35" i="1"/>
  <c r="M42" i="1" s="1"/>
  <c r="K35" i="1"/>
  <c r="K42" i="1" s="1"/>
  <c r="J14" i="5" a="1"/>
  <c r="J14" i="5" s="1"/>
  <c r="F42" i="5"/>
  <c r="F38" i="5"/>
  <c r="F31" i="5"/>
  <c r="F19" i="5"/>
  <c r="F45" i="5"/>
  <c r="F20" i="5"/>
  <c r="M42" i="5"/>
  <c r="M38" i="5"/>
  <c r="D14" i="5" a="1"/>
  <c r="D14" i="5" s="1"/>
  <c r="E35" i="1"/>
  <c r="E42" i="1" s="1"/>
  <c r="G14" i="5" a="1"/>
  <c r="G14" i="5" s="1"/>
  <c r="G29" i="5" s="1"/>
  <c r="H35" i="1"/>
  <c r="H42" i="1" s="1"/>
  <c r="J39" i="5"/>
  <c r="J8" i="5"/>
  <c r="J10" i="5" s="1"/>
  <c r="I20" i="5"/>
  <c r="E26" i="5"/>
  <c r="E27" i="6"/>
  <c r="E6" i="5" a="1"/>
  <c r="E6" i="5" s="1"/>
  <c r="K39" i="5"/>
  <c r="K8" i="5"/>
  <c r="K10" i="5" s="1"/>
  <c r="K14" i="5" a="1"/>
  <c r="K14" i="5" s="1"/>
  <c r="K29" i="5" s="1"/>
  <c r="L35" i="1"/>
  <c r="L42" i="1" s="1"/>
  <c r="G8" i="5" l="1"/>
  <c r="G10" i="5" s="1"/>
  <c r="F29" i="5"/>
  <c r="F37" i="5"/>
  <c r="C28" i="5"/>
  <c r="C37" i="5" s="1"/>
  <c r="C31" i="5"/>
  <c r="H29" i="5"/>
  <c r="J29" i="5"/>
  <c r="L30" i="5"/>
  <c r="L8" i="5"/>
  <c r="L10" i="5" s="1"/>
  <c r="L45" i="5" s="1"/>
  <c r="L39" i="5"/>
  <c r="N45" i="5"/>
  <c r="E29" i="5"/>
  <c r="E28" i="5"/>
  <c r="E44" i="1"/>
  <c r="E46" i="1" s="1"/>
  <c r="F49" i="5"/>
  <c r="F50" i="5" s="1"/>
  <c r="N49" i="5"/>
  <c r="N50" i="5" s="1"/>
  <c r="M39" i="5"/>
  <c r="M8" i="5"/>
  <c r="I49" i="5"/>
  <c r="I50" i="5" s="1"/>
  <c r="D42" i="5"/>
  <c r="D38" i="5"/>
  <c r="D31" i="5"/>
  <c r="D19" i="5"/>
  <c r="D45" i="5"/>
  <c r="D20" i="5"/>
  <c r="D29" i="5"/>
  <c r="D30" i="5"/>
  <c r="L44" i="1"/>
  <c r="L46" i="1" s="1"/>
  <c r="M44" i="1"/>
  <c r="M46" i="1" s="1"/>
  <c r="M29" i="5"/>
  <c r="M28" i="5"/>
  <c r="K37" i="5"/>
  <c r="K30" i="5"/>
  <c r="K45" i="5"/>
  <c r="K20" i="5"/>
  <c r="K42" i="5"/>
  <c r="K38" i="5"/>
  <c r="K31" i="5"/>
  <c r="K19" i="5"/>
  <c r="L42" i="5"/>
  <c r="L38" i="5"/>
  <c r="L31" i="5"/>
  <c r="L19" i="5"/>
  <c r="L29" i="5"/>
  <c r="E42" i="5"/>
  <c r="E38" i="5"/>
  <c r="E31" i="5"/>
  <c r="E19" i="5"/>
  <c r="G37" i="5"/>
  <c r="G30" i="5"/>
  <c r="H44" i="1"/>
  <c r="H46" i="1" s="1"/>
  <c r="M19" i="5"/>
  <c r="F44" i="1"/>
  <c r="F46" i="1" s="1"/>
  <c r="G42" i="5"/>
  <c r="G38" i="5"/>
  <c r="G31" i="5"/>
  <c r="G19" i="5"/>
  <c r="G45" i="5"/>
  <c r="G20" i="5"/>
  <c r="M31" i="5"/>
  <c r="E39" i="5"/>
  <c r="E8" i="5"/>
  <c r="E10" i="5" s="1"/>
  <c r="E45" i="5" s="1"/>
  <c r="J45" i="5"/>
  <c r="J20" i="5"/>
  <c r="J42" i="5"/>
  <c r="J38" i="5"/>
  <c r="J31" i="5"/>
  <c r="J19" i="5"/>
  <c r="D44" i="1"/>
  <c r="D46" i="1" s="1"/>
  <c r="I44" i="1"/>
  <c r="I46" i="1" s="1"/>
  <c r="J37" i="5"/>
  <c r="J30" i="5"/>
  <c r="K44" i="1"/>
  <c r="K46" i="1" s="1"/>
  <c r="C45" i="5"/>
  <c r="C20" i="5"/>
  <c r="C42" i="5"/>
  <c r="C38" i="5"/>
  <c r="C19" i="5"/>
  <c r="H45" i="5"/>
  <c r="H20" i="5"/>
  <c r="H42" i="5"/>
  <c r="H38" i="5"/>
  <c r="H31" i="5"/>
  <c r="H19" i="5"/>
  <c r="H37" i="5"/>
  <c r="H30" i="5"/>
  <c r="C29" i="5"/>
  <c r="I37" i="5"/>
  <c r="I30" i="5"/>
  <c r="E20" i="5" l="1"/>
  <c r="C30" i="5"/>
  <c r="L20" i="5"/>
  <c r="K49" i="5"/>
  <c r="K50" i="5" s="1"/>
  <c r="E49" i="5"/>
  <c r="E50" i="5" s="1"/>
  <c r="H49" i="5"/>
  <c r="H50" i="5" s="1"/>
  <c r="C49" i="5"/>
  <c r="C50" i="5" s="1"/>
  <c r="J49" i="5"/>
  <c r="J50" i="5" s="1"/>
  <c r="G49" i="5"/>
  <c r="G50" i="5" s="1"/>
  <c r="M37" i="5"/>
  <c r="M30" i="5"/>
  <c r="D49" i="5"/>
  <c r="D50" i="5" s="1"/>
  <c r="L49" i="5"/>
  <c r="L50" i="5" s="1"/>
  <c r="M10" i="5"/>
  <c r="M45" i="5" s="1"/>
  <c r="M20" i="5"/>
  <c r="E37" i="5"/>
  <c r="E30" i="5"/>
  <c r="M49" i="5" l="1"/>
  <c r="M5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00000000-0006-0000-0000-000001000000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  <comment ref="N19" authorId="0" shapeId="0" xr:uid="{46F29DF0-FC91-489C-AFC1-53FB7334E739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5603C239-1151-4AF9-A541-2AB8E2E63425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45F0D65F-9E2C-47BE-8D10-E5DB00006A70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DFFA0992-4F12-4661-88FA-2DFF07844956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7A096D48-91A8-413E-BE3A-A61D121518D5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373EB423-8D5C-467E-91BC-E7BC675CD0F4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<sst xmlns="http://schemas.openxmlformats.org/spreadsheetml/2006/main" count="678" uniqueCount="469">
  <si>
    <t>P&amp;L Flash Input</t>
  </si>
  <si>
    <t>[Company Name]</t>
  </si>
  <si>
    <t>Revenue</t>
  </si>
  <si>
    <t>Budget</t>
  </si>
  <si>
    <t>Cost of Goods Sold</t>
  </si>
  <si>
    <t>Gross Profit</t>
  </si>
  <si>
    <t>Operating Expenses</t>
  </si>
  <si>
    <t>EBITDA</t>
  </si>
  <si>
    <t>EBITDA Adjustments</t>
  </si>
  <si>
    <t>Adj Type</t>
  </si>
  <si>
    <t>Description</t>
  </si>
  <si>
    <t>YTD</t>
  </si>
  <si>
    <t>One-Time Restructuring</t>
  </si>
  <si>
    <t>Transaction Costs</t>
  </si>
  <si>
    <t>Non-Cash Stock Comp</t>
  </si>
  <si>
    <t>Management Fees</t>
  </si>
  <si>
    <t>Integration Costs</t>
  </si>
  <si>
    <t>Total Adjustments</t>
  </si>
  <si>
    <t>Adjusted EBITDA</t>
  </si>
  <si>
    <t>Depreciation</t>
  </si>
  <si>
    <t>Amortization</t>
  </si>
  <si>
    <t>EBIT</t>
  </si>
  <si>
    <t>Interest Expense</t>
  </si>
  <si>
    <t>Other Income / (Expense)</t>
  </si>
  <si>
    <t>EBT</t>
  </si>
  <si>
    <t>Tax Expense</t>
  </si>
  <si>
    <t>Net Income</t>
  </si>
  <si>
    <t>Balance Sheet Flash Input</t>
  </si>
  <si>
    <t>ASSETS</t>
  </si>
  <si>
    <t>Cash &amp; Cash Equivalents</t>
  </si>
  <si>
    <t>Accounts Receivable</t>
  </si>
  <si>
    <t>Inventory</t>
  </si>
  <si>
    <t>Prepaid Expenses</t>
  </si>
  <si>
    <t>Total Current Assets</t>
  </si>
  <si>
    <t>PP&amp;E (Net)</t>
  </si>
  <si>
    <t>Intangibles</t>
  </si>
  <si>
    <t>Goodwill</t>
  </si>
  <si>
    <t>Total Assets</t>
  </si>
  <si>
    <t>LIABILITIES</t>
  </si>
  <si>
    <t>Accounts Payable</t>
  </si>
  <si>
    <t>Accrued Expenses</t>
  </si>
  <si>
    <t>Short-Term Debt</t>
  </si>
  <si>
    <t>Total Current Liabilities</t>
  </si>
  <si>
    <t>Long-Term Debt</t>
  </si>
  <si>
    <t>Total Liabilities</t>
  </si>
  <si>
    <t>EQUITY</t>
  </si>
  <si>
    <t>Total Equity</t>
  </si>
  <si>
    <t>Total Liabilities &amp; Equity</t>
  </si>
  <si>
    <t>Cash Flow Flash Input</t>
  </si>
  <si>
    <t>OPERATING ACTIVITIES</t>
  </si>
  <si>
    <t>(+) Depreciation &amp; Amort</t>
  </si>
  <si>
    <t>(+/-) Working Capital Changes</t>
  </si>
  <si>
    <t>Cash from Operations</t>
  </si>
  <si>
    <t>INVESTING ACTIVITIES</t>
  </si>
  <si>
    <t>CapEx</t>
  </si>
  <si>
    <t>Acquisitions / Disposals</t>
  </si>
  <si>
    <t>Cash from Investing</t>
  </si>
  <si>
    <t>FINANCING ACTIVITIES</t>
  </si>
  <si>
    <t>Debt Draws / (Repayments)</t>
  </si>
  <si>
    <t>Dividends / Distributions</t>
  </si>
  <si>
    <t>Cash from Financing</t>
  </si>
  <si>
    <t>Net Change in Cash</t>
  </si>
  <si>
    <t>Beginning Cash</t>
  </si>
  <si>
    <t>Ending Cash</t>
  </si>
  <si>
    <t>KPI Flash Input</t>
  </si>
  <si>
    <t>FINANCIAL KPIs</t>
  </si>
  <si>
    <t>Revenue Growth (MoM %)</t>
  </si>
  <si>
    <t>Gross Margin (%)</t>
  </si>
  <si>
    <t>EBITDA Margin (%)</t>
  </si>
  <si>
    <t>Net Income Margin (%)</t>
  </si>
  <si>
    <t>Revenue per Employee ($K)</t>
  </si>
  <si>
    <t>OPERATIONAL KPIs</t>
  </si>
  <si>
    <t>Headcount (FTEs)</t>
  </si>
  <si>
    <t>New Hires</t>
  </si>
  <si>
    <t>Voluntary Attrition</t>
  </si>
  <si>
    <t>Customer Count</t>
  </si>
  <si>
    <t>New Customers</t>
  </si>
  <si>
    <t>Churned Customers</t>
  </si>
  <si>
    <t>Net Revenue Retention (%)</t>
  </si>
  <si>
    <t>WORKING CAPITAL KPIs</t>
  </si>
  <si>
    <t>Days Sales Outstanding (DSO)</t>
  </si>
  <si>
    <t>Days Inventory Outstanding (DIO)</t>
  </si>
  <si>
    <t>Days Payable Outstanding (DPO)</t>
  </si>
  <si>
    <t>Cash Conversion Cycle</t>
  </si>
  <si>
    <t>Debt Ratio Flash Input</t>
  </si>
  <si>
    <t>DEBT &amp; CAPITAL METRICS</t>
  </si>
  <si>
    <t>Total Debt Outstanding</t>
  </si>
  <si>
    <t>Net Debt</t>
  </si>
  <si>
    <t>Total Enterprise Value (TEV)</t>
  </si>
  <si>
    <t>Equity Value (TEV - Net Debt)</t>
  </si>
  <si>
    <t>EBITDA METRICS (Monthly)</t>
  </si>
  <si>
    <t>EBITDA (Reported)</t>
  </si>
  <si>
    <t>Run-Rate EBITDA (Input)</t>
  </si>
  <si>
    <t>LEVERAGE RATIOS</t>
  </si>
  <si>
    <t>Gross Leverage (Debt / Adj EBITDA)</t>
  </si>
  <si>
    <t>Net Leverage (Net Debt / Adj EBITDA)</t>
  </si>
  <si>
    <t>Senior Leverage (if applicable)</t>
  </si>
  <si>
    <t>First Lien Leverage</t>
  </si>
  <si>
    <t>Secured Leverage</t>
  </si>
  <si>
    <t>COVERAGE RATIOS</t>
  </si>
  <si>
    <t>Est. Monthly Cash Interest</t>
  </si>
  <si>
    <t>Monthly Principal Amortization</t>
  </si>
  <si>
    <t>Total Debt Service</t>
  </si>
  <si>
    <t>Interest Coverage (EBITDA / Int)</t>
  </si>
  <si>
    <t>Fixed Charge Coverage (EBITDA-CapEx)/DS</t>
  </si>
  <si>
    <t>Cash Interest / EBITDA (%)</t>
  </si>
  <si>
    <t>CASH FLOW METRICS</t>
  </si>
  <si>
    <t>Operating Cash Flow</t>
  </si>
  <si>
    <t>Free Cash Flow (OCF - CapEx)</t>
  </si>
  <si>
    <t>FCF / Debt Service (%)</t>
  </si>
  <si>
    <t>Cash Conversion (FCF / Adj EBITDA)</t>
  </si>
  <si>
    <t>Debt Paydown Capacity (FCF / Debt)</t>
  </si>
  <si>
    <t>VALUATION METRICS</t>
  </si>
  <si>
    <t>TEV / Adj EBITDA</t>
  </si>
  <si>
    <t>TEV / Run-Rate EBITDA</t>
  </si>
  <si>
    <t>TEV / Revenue</t>
  </si>
  <si>
    <t>Equity / Adj EBITDA</t>
  </si>
  <si>
    <t>COVENANT COMPLIANCE</t>
  </si>
  <si>
    <t>Max Leverage Covenant</t>
  </si>
  <si>
    <t>Covenant Cushion (x)</t>
  </si>
  <si>
    <t>Covenant Headroom (%)</t>
  </si>
  <si>
    <t>Debt Overview Flash Input</t>
  </si>
  <si>
    <t>SENIOR SECURED DEBT</t>
  </si>
  <si>
    <t>Revolver - Commitment</t>
  </si>
  <si>
    <t>Revolver - Drawn</t>
  </si>
  <si>
    <t>Revolver - Available</t>
  </si>
  <si>
    <t>Term Loan A - Outstanding</t>
  </si>
  <si>
    <t>Term Loan B - Outstanding</t>
  </si>
  <si>
    <t>Total Senior Secured</t>
  </si>
  <si>
    <t>SUBORDINATED / MEZZ DEBT</t>
  </si>
  <si>
    <t>Second Lien - Outstanding</t>
  </si>
  <si>
    <t>Mezzanine - Outstanding</t>
  </si>
  <si>
    <t>Total Subordinated</t>
  </si>
  <si>
    <t>OTHER DEBT</t>
  </si>
  <si>
    <t>Capital Lease Obligations</t>
  </si>
  <si>
    <t>Seller Notes</t>
  </si>
  <si>
    <t>Other Debt</t>
  </si>
  <si>
    <t>Total Other Debt</t>
  </si>
  <si>
    <t>TOTAL DEBT SUMMARY</t>
  </si>
  <si>
    <t>(-) Cash &amp; Equivalents</t>
  </si>
  <si>
    <t>INTEREST RATE SUMMARY</t>
  </si>
  <si>
    <t>Revolver Rate (%)</t>
  </si>
  <si>
    <t>TLA Rate (%)</t>
  </si>
  <si>
    <t>TLB Rate (%)</t>
  </si>
  <si>
    <t>Blended Interest Rate (%)</t>
  </si>
  <si>
    <t>EBITDA Adjustment Types Reference</t>
  </si>
  <si>
    <t>Adjustment Code</t>
  </si>
  <si>
    <t>Adjustment Type</t>
  </si>
  <si>
    <t>Direction</t>
  </si>
  <si>
    <t>ADD-01</t>
  </si>
  <si>
    <t>Severance, facility closure costs, reorganization expenses</t>
  </si>
  <si>
    <t>Add-back (+)</t>
  </si>
  <si>
    <t>ADD-02</t>
  </si>
  <si>
    <t>M&amp;A fees, legal, accounting, due diligence costs</t>
  </si>
  <si>
    <t>ADD-03</t>
  </si>
  <si>
    <t>Stock-based compensation expense</t>
  </si>
  <si>
    <t>ADD-04</t>
  </si>
  <si>
    <t>Sponsor management/monitoring fees</t>
  </si>
  <si>
    <t>ADD-05</t>
  </si>
  <si>
    <t>Non-Recurring Legal</t>
  </si>
  <si>
    <t>Litigation settlements, unusual legal costs</t>
  </si>
  <si>
    <t>ADD-06</t>
  </si>
  <si>
    <t>Asset Impairment</t>
  </si>
  <si>
    <t>Non-cash goodwill/asset write-downs</t>
  </si>
  <si>
    <t>ADD-07</t>
  </si>
  <si>
    <t>FX Losses (Non-Cash)</t>
  </si>
  <si>
    <t>Unrealized foreign exchange losses</t>
  </si>
  <si>
    <t>ADD-08</t>
  </si>
  <si>
    <t>Post-acquisition integration expenses</t>
  </si>
  <si>
    <t>ADD-09</t>
  </si>
  <si>
    <t>Start-Up Costs</t>
  </si>
  <si>
    <t>New facility/product launch expenses</t>
  </si>
  <si>
    <t>ADD-10</t>
  </si>
  <si>
    <t>Natural Disaster</t>
  </si>
  <si>
    <t>One-time costs from floods, fires, etc.</t>
  </si>
  <si>
    <t>DED-01</t>
  </si>
  <si>
    <t>One-Time Gains</t>
  </si>
  <si>
    <t>Non-recurring income or gains</t>
  </si>
  <si>
    <t>Deduction (-)</t>
  </si>
  <si>
    <t>DED-02</t>
  </si>
  <si>
    <t>Insurance Proceeds</t>
  </si>
  <si>
    <t>Non-operating insurance recoveries</t>
  </si>
  <si>
    <t>DED-03</t>
  </si>
  <si>
    <t>Asset Sale Gains</t>
  </si>
  <si>
    <t>Gains on disposal of assets</t>
  </si>
  <si>
    <t>DED-04</t>
  </si>
  <si>
    <t>FX Gains (Non-Cash)</t>
  </si>
  <si>
    <t>Unrealized foreign exchange gains</t>
  </si>
  <si>
    <t>DED-05</t>
  </si>
  <si>
    <t>Government Grants</t>
  </si>
  <si>
    <t>One-time subsidies or grants</t>
  </si>
  <si>
    <t>OTH-01</t>
  </si>
  <si>
    <t>Run-Rate Adjustment</t>
  </si>
  <si>
    <t>Pro forma for full-year impact of changes</t>
  </si>
  <si>
    <t>Varies</t>
  </si>
  <si>
    <t>OTH-02</t>
  </si>
  <si>
    <t>Synergy Adjustment</t>
  </si>
  <si>
    <t>Expected cost savings from integration</t>
  </si>
  <si>
    <t>OTH-03</t>
  </si>
  <si>
    <t>Other</t>
  </si>
  <si>
    <t>Other adjustment - provide detail in notes</t>
  </si>
  <si>
    <t>LFL-01</t>
  </si>
  <si>
    <t>Like-for-Like Revenue</t>
  </si>
  <si>
    <t>Organic revenue excluding M&amp;A/divestitures</t>
  </si>
  <si>
    <t>Analysis</t>
  </si>
  <si>
    <t>LFL-02</t>
  </si>
  <si>
    <t>Like-for-Like EBITDA</t>
  </si>
  <si>
    <t>Organic EBITDA excluding M&amp;A/divestitures impact</t>
  </si>
  <si>
    <t>LFL-03</t>
  </si>
  <si>
    <t>Currency Impact</t>
  </si>
  <si>
    <t>FX translation adjustment for constant currency comparison</t>
  </si>
  <si>
    <t>LFL-04</t>
  </si>
  <si>
    <t>Price/Volume Split</t>
  </si>
  <si>
    <t>Breakdown of revenue growth into price vs volume</t>
  </si>
  <si>
    <t>MA2-01</t>
  </si>
  <si>
    <t>Acquisition EBITDA Run-Rate</t>
  </si>
  <si>
    <t>Full-year pro forma EBITDA of acquired businesses</t>
  </si>
  <si>
    <t>MA2-02</t>
  </si>
  <si>
    <t>Cost Synergies (Capped)</t>
  </si>
  <si>
    <t>Expected synergies per credit agreement caps (typically 15-25%)</t>
  </si>
  <si>
    <t>MA2-03</t>
  </si>
  <si>
    <t>Revenue Synergies</t>
  </si>
  <si>
    <t>Pro forma revenue uplift from cross-sell/integration</t>
  </si>
  <si>
    <t>MA2-04</t>
  </si>
  <si>
    <t>Deal Pipeline EBITDA</t>
  </si>
  <si>
    <t>EBITDA from signed but not closed acquisitions</t>
  </si>
  <si>
    <t>MA2-05</t>
  </si>
  <si>
    <t>Divestiture Adjustment</t>
  </si>
  <si>
    <t>Remove EBITDA of divested businesses</t>
  </si>
  <si>
    <t>MA2-06</t>
  </si>
  <si>
    <t>Carve-Out Costs</t>
  </si>
  <si>
    <t>One-time separation costs for divestitures</t>
  </si>
  <si>
    <t>Note: LFL = Like-for-Like (organic growth analysis). MA2 = M&amp;A Type 2 (credit agreement / covenant adjustments).</t>
  </si>
  <si>
    <t>PE Portfolio Company Flash Input Summary</t>
  </si>
  <si>
    <t>Sheet</t>
  </si>
  <si>
    <t>Metric</t>
  </si>
  <si>
    <t>December Cell Ref</t>
  </si>
  <si>
    <t>P&amp;L</t>
  </si>
  <si>
    <t>P&amp;L!N5</t>
  </si>
  <si>
    <t>Monthly revenue from sales/services</t>
  </si>
  <si>
    <t>Revenue Budget</t>
  </si>
  <si>
    <t>P&amp;L!N6</t>
  </si>
  <si>
    <t>Budgeted monthly revenue</t>
  </si>
  <si>
    <t>P&amp;L!N7</t>
  </si>
  <si>
    <t>Direct costs of products/services sold</t>
  </si>
  <si>
    <t>COGS Budget</t>
  </si>
  <si>
    <t>P&amp;L!N8</t>
  </si>
  <si>
    <t>Budgeted COGS</t>
  </si>
  <si>
    <t>P&amp;L!N12</t>
  </si>
  <si>
    <t>SG&amp;A, R&amp;D, and other operating costs</t>
  </si>
  <si>
    <t>OpEx Budget</t>
  </si>
  <si>
    <t>P&amp;L!N13</t>
  </si>
  <si>
    <t>Budgeted operating expenses</t>
  </si>
  <si>
    <t>EBITDA Adj Type</t>
  </si>
  <si>
    <t>P&amp;L!B20:B27</t>
  </si>
  <si>
    <t>Select adjustment type from dropdown (One-Time Restructuring, Transaction Costs, etc.)</t>
  </si>
  <si>
    <t>EBITDA Adj Description</t>
  </si>
  <si>
    <t>P&amp;L!C20:C27</t>
  </si>
  <si>
    <t>Brief description of adjustment</t>
  </si>
  <si>
    <t>EBITDA Adj Values</t>
  </si>
  <si>
    <t>P&amp;L!D20:O27</t>
  </si>
  <si>
    <t>Monthly adjustment amounts (positive = add-back, negative = deduction)</t>
  </si>
  <si>
    <t>P&amp;L!N31</t>
  </si>
  <si>
    <t>Monthly depreciation expense</t>
  </si>
  <si>
    <t>Depreciation Budget</t>
  </si>
  <si>
    <t>P&amp;L!N32</t>
  </si>
  <si>
    <t>Budgeted depreciation</t>
  </si>
  <si>
    <t>P&amp;L!N33</t>
  </si>
  <si>
    <t>Monthly amortization of intangibles</t>
  </si>
  <si>
    <t>Amortization Budget</t>
  </si>
  <si>
    <t>P&amp;L!N34</t>
  </si>
  <si>
    <t>Budgeted amortization</t>
  </si>
  <si>
    <t>P&amp;L!N38</t>
  </si>
  <si>
    <t>Interest paid on debt</t>
  </si>
  <si>
    <t>Interest Budget</t>
  </si>
  <si>
    <t>P&amp;L!N39</t>
  </si>
  <si>
    <t>Budgeted interest expense</t>
  </si>
  <si>
    <t>Other Income/(Expense)</t>
  </si>
  <si>
    <t>P&amp;L!N40</t>
  </si>
  <si>
    <t>Non-operating income or expenses</t>
  </si>
  <si>
    <t>Other Inc/Exp Budget</t>
  </si>
  <si>
    <t>P&amp;L!N41</t>
  </si>
  <si>
    <t>Budgeted other income/expense</t>
  </si>
  <si>
    <t>BS</t>
  </si>
  <si>
    <t>BS!N6</t>
  </si>
  <si>
    <t>Cash, bank accounts, money market funds</t>
  </si>
  <si>
    <t>Cash Budget</t>
  </si>
  <si>
    <t>BS!N7</t>
  </si>
  <si>
    <t>Budgeted cash balance</t>
  </si>
  <si>
    <t>BS!N8</t>
  </si>
  <si>
    <t>Trade receivables from customers</t>
  </si>
  <si>
    <t>AR Budget</t>
  </si>
  <si>
    <t>BS!N9</t>
  </si>
  <si>
    <t>Budgeted AR balance</t>
  </si>
  <si>
    <t>BS!N10</t>
  </si>
  <si>
    <t>Raw materials, WIP, finished goods</t>
  </si>
  <si>
    <t>Inventory Budget</t>
  </si>
  <si>
    <t>BS!N11</t>
  </si>
  <si>
    <t>Budgeted inventory</t>
  </si>
  <si>
    <t>BS!N12</t>
  </si>
  <si>
    <t>Prepaid rent, insurance, etc.</t>
  </si>
  <si>
    <t>Prepaid Budget</t>
  </si>
  <si>
    <t>BS!N13</t>
  </si>
  <si>
    <t>Budgeted prepaids</t>
  </si>
  <si>
    <t>BS!N17</t>
  </si>
  <si>
    <t>Property, plant &amp; equipment net of depreciation</t>
  </si>
  <si>
    <t>PP&amp;E Budget</t>
  </si>
  <si>
    <t>BS!N18</t>
  </si>
  <si>
    <t>Budgeted PP&amp;E</t>
  </si>
  <si>
    <t>BS!N19</t>
  </si>
  <si>
    <t>Patents, trademarks, software, etc.</t>
  </si>
  <si>
    <t>Intangibles Budget</t>
  </si>
  <si>
    <t>BS!N20</t>
  </si>
  <si>
    <t>Budgeted intangibles</t>
  </si>
  <si>
    <t>BS!N21</t>
  </si>
  <si>
    <t>Goodwill from acquisitions</t>
  </si>
  <si>
    <t>Goodwill Budget</t>
  </si>
  <si>
    <t>BS!N22</t>
  </si>
  <si>
    <t>Budgeted goodwill</t>
  </si>
  <si>
    <t>BS!N27</t>
  </si>
  <si>
    <t>Trade payables to suppliers</t>
  </si>
  <si>
    <t>AP Budget</t>
  </si>
  <si>
    <t>BS!N28</t>
  </si>
  <si>
    <t>Budgeted AP</t>
  </si>
  <si>
    <t>BS!N29</t>
  </si>
  <si>
    <t>Wages, taxes, interest accrued</t>
  </si>
  <si>
    <t>Accrued Budget</t>
  </si>
  <si>
    <t>BS!N30</t>
  </si>
  <si>
    <t>Budgeted accruals</t>
  </si>
  <si>
    <t>BS!N31</t>
  </si>
  <si>
    <t>Debt due within 12 months</t>
  </si>
  <si>
    <t>ST Debt Budget</t>
  </si>
  <si>
    <t>BS!N32</t>
  </si>
  <si>
    <t>Budgeted short-term debt</t>
  </si>
  <si>
    <t>BS!N36</t>
  </si>
  <si>
    <t>Debt due beyond 12 months</t>
  </si>
  <si>
    <t>LT Debt Budget</t>
  </si>
  <si>
    <t>BS!N37</t>
  </si>
  <si>
    <t>Budgeted long-term debt</t>
  </si>
  <si>
    <t>Cash-Flow</t>
  </si>
  <si>
    <t>Cash-Flow!N6</t>
  </si>
  <si>
    <t>Net income from P&amp;L (or override here)</t>
  </si>
  <si>
    <t>Net Income Budget</t>
  </si>
  <si>
    <t>Cash-Flow!N7</t>
  </si>
  <si>
    <t>Budgeted net income</t>
  </si>
  <si>
    <t>(+) D&amp;A</t>
  </si>
  <si>
    <t>Cash-Flow!N8</t>
  </si>
  <si>
    <t>Depreciation &amp; amortization add-back</t>
  </si>
  <si>
    <t>D&amp;A Budget</t>
  </si>
  <si>
    <t>Cash-Flow!N9</t>
  </si>
  <si>
    <t>Budgeted D&amp;A</t>
  </si>
  <si>
    <t>(+/-) Working Capital Chg</t>
  </si>
  <si>
    <t>Cash-Flow!N10</t>
  </si>
  <si>
    <t>Change in AR, inventory, AP, accruals</t>
  </si>
  <si>
    <t>WC Change Budget</t>
  </si>
  <si>
    <t>Cash-Flow!N11</t>
  </si>
  <si>
    <t>Budgeted working capital change</t>
  </si>
  <si>
    <t>Cash-Flow!N16</t>
  </si>
  <si>
    <t>Capital expenditures (negative)</t>
  </si>
  <si>
    <t>CapEx Budget</t>
  </si>
  <si>
    <t>Cash-Flow!N17</t>
  </si>
  <si>
    <t>Budgeted CapEx</t>
  </si>
  <si>
    <t>Acquisitions/Disposals</t>
  </si>
  <si>
    <t>Cash-Flow!N18</t>
  </si>
  <si>
    <t>M&amp;A activity cash flows</t>
  </si>
  <si>
    <t>M&amp;A Budget</t>
  </si>
  <si>
    <t>Cash-Flow!N19</t>
  </si>
  <si>
    <t>Budgeted M&amp;A</t>
  </si>
  <si>
    <t>Debt Draws/(Repayments)</t>
  </si>
  <si>
    <t>Cash-Flow!N24</t>
  </si>
  <si>
    <t>Net borrowings or repayments</t>
  </si>
  <si>
    <t>Debt Budget</t>
  </si>
  <si>
    <t>Cash-Flow!N25</t>
  </si>
  <si>
    <t>Budgeted debt activity</t>
  </si>
  <si>
    <t>Dividends/Distributions</t>
  </si>
  <si>
    <t>Cash-Flow!N26</t>
  </si>
  <si>
    <t>Cash distributions to owners</t>
  </si>
  <si>
    <t>Dividend Budget</t>
  </si>
  <si>
    <t>Cash-Flow!N27</t>
  </si>
  <si>
    <t>Budgeted distributions</t>
  </si>
  <si>
    <t>Cash-Flow!N33</t>
  </si>
  <si>
    <t>Cash balance at start of month</t>
  </si>
  <si>
    <t>Beg Cash Budget</t>
  </si>
  <si>
    <t>Cash-Flow!N34</t>
  </si>
  <si>
    <t>Budgeted beginning cash</t>
  </si>
  <si>
    <t>KPI</t>
  </si>
  <si>
    <t>KPI!N6</t>
  </si>
  <si>
    <t>Month-over-month revenue growth rate</t>
  </si>
  <si>
    <t>KPI!N7</t>
  </si>
  <si>
    <t>Gross profit / Revenue</t>
  </si>
  <si>
    <t>KPI!N8</t>
  </si>
  <si>
    <t>EBITDA / Revenue</t>
  </si>
  <si>
    <t>KPI!N9</t>
  </si>
  <si>
    <t>Net Income / Revenue</t>
  </si>
  <si>
    <t>KPI!N10</t>
  </si>
  <si>
    <t>Revenue divided by FTE count</t>
  </si>
  <si>
    <t>KPI!N13</t>
  </si>
  <si>
    <t>Full-time equivalent employees</t>
  </si>
  <si>
    <t>KPI!N14</t>
  </si>
  <si>
    <t>Employees added during month</t>
  </si>
  <si>
    <t>KPI!N15</t>
  </si>
  <si>
    <t>Employees who resigned</t>
  </si>
  <si>
    <t>KPI!N16</t>
  </si>
  <si>
    <t>Total active customers</t>
  </si>
  <si>
    <t>KPI!N17</t>
  </si>
  <si>
    <t>Customers acquired in month</t>
  </si>
  <si>
    <t>KPI!N18</t>
  </si>
  <si>
    <t>Customers lost in month</t>
  </si>
  <si>
    <t>KPI!N19</t>
  </si>
  <si>
    <t>NRR - expansion vs churn</t>
  </si>
  <si>
    <t>Days Sales Outstanding</t>
  </si>
  <si>
    <t>KPI!N22</t>
  </si>
  <si>
    <t>AR collection period (days)</t>
  </si>
  <si>
    <t>Days Inventory Outstanding</t>
  </si>
  <si>
    <t>KPI!N23</t>
  </si>
  <si>
    <t>Inventory turnover (days)</t>
  </si>
  <si>
    <t>Days Payable Outstanding</t>
  </si>
  <si>
    <t>KPI!N24</t>
  </si>
  <si>
    <t>AP payment period (days)</t>
  </si>
  <si>
    <t>Debt-Ratio</t>
  </si>
  <si>
    <t>Total Enterprise Value</t>
  </si>
  <si>
    <t>Debt-Ratio!N9</t>
  </si>
  <si>
    <t>TEV used for valuation metrics</t>
  </si>
  <si>
    <t>Run-Rate EBITDA</t>
  </si>
  <si>
    <t>Debt-Ratio!N15</t>
  </si>
  <si>
    <t>Annualized/normalized EBITDA</t>
  </si>
  <si>
    <t>Senior Leverage</t>
  </si>
  <si>
    <t>Debt-Ratio!N21</t>
  </si>
  <si>
    <t>Senior debt / EBITDA ratio</t>
  </si>
  <si>
    <t>Debt-Ratio!N22</t>
  </si>
  <si>
    <t>First lien debt / EBITDA</t>
  </si>
  <si>
    <t>Debt-Ratio!N23</t>
  </si>
  <si>
    <t>Secured debt / EBITDA</t>
  </si>
  <si>
    <t>Monthly Principal Amort</t>
  </si>
  <si>
    <t>Debt-Ratio!N27</t>
  </si>
  <si>
    <t>Required principal payments</t>
  </si>
  <si>
    <t>Debt-Ratio!N48</t>
  </si>
  <si>
    <t>Covenant limit on net leverage</t>
  </si>
  <si>
    <t>Debt-Overview</t>
  </si>
  <si>
    <t>Revolver Commitment</t>
  </si>
  <si>
    <t>Debt-Overview!N6</t>
  </si>
  <si>
    <t>Total revolver facility size</t>
  </si>
  <si>
    <t>Revolver Drawn</t>
  </si>
  <si>
    <t>Debt-Overview!N7</t>
  </si>
  <si>
    <t>Amount drawn on revolver</t>
  </si>
  <si>
    <t>Term Loan A Outstanding</t>
  </si>
  <si>
    <t>Debt-Overview!N9</t>
  </si>
  <si>
    <t>TLA balance</t>
  </si>
  <si>
    <t>Term Loan B Outstanding</t>
  </si>
  <si>
    <t>Debt-Overview!N10</t>
  </si>
  <si>
    <t>TLB balance</t>
  </si>
  <si>
    <t>Second Lien Outstanding</t>
  </si>
  <si>
    <t>Debt-Overview!N14</t>
  </si>
  <si>
    <t>Second lien debt balance</t>
  </si>
  <si>
    <t>Mezzanine Outstanding</t>
  </si>
  <si>
    <t>Debt-Overview!N15</t>
  </si>
  <si>
    <t>Mezzanine debt balance</t>
  </si>
  <si>
    <t>Debt-Overview!N19</t>
  </si>
  <si>
    <t>Finance lease liabilities</t>
  </si>
  <si>
    <t>Debt-Overview!N20</t>
  </si>
  <si>
    <t>Deferred acquisition notes</t>
  </si>
  <si>
    <t>Debt-Overview!N21</t>
  </si>
  <si>
    <t>Other debt instruments</t>
  </si>
  <si>
    <t>Debt-Overview!N30</t>
  </si>
  <si>
    <t>Interest rate on revolver</t>
  </si>
  <si>
    <t>Debt-Overview!N31</t>
  </si>
  <si>
    <t>Interest rate on Term Loan A</t>
  </si>
  <si>
    <t>Debt-Overview!N32</t>
  </si>
  <si>
    <t>Interest rate on Term Loan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</si>
</sst>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4" x14ac:knownFonts="1">
    <font>
      <sz val="12"/>
      <color theme="1"/>
      <name val="Aptos Narrow"/>
      <scheme val="minor"/>
    </font>
    <font>
      <sz val="9"/>
      <color rgb="FF00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i/>
      <sz val="11"/>
      <color rgb="FF80808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2"/>
      <color rgb="FF0000FF"/>
      <name val="Arial"/>
      <family val="2"/>
    </font>
    <font>
      <i/>
      <sz val="11"/>
      <color rgb="FF666666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b/>
      <sz val="11"/>
      <color rgb="FF1F4E79"/>
      <name val="Arial"/>
      <family val="2"/>
    </font>
    <font>
      <b/>
      <sz val="10"/>
      <color rgb="FF1F4E79"/>
      <name val="Arial"/>
      <family val="2"/>
    </font>
    <font>
      <b/>
      <sz val="11"/>
      <color rgb="FF00000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rgb="FF008000"/>
      <name val="Arial"/>
      <family val="2"/>
    </font>
    <font>
      <sz val="11"/>
      <color rgb="FF006400"/>
      <name val="Arial"/>
      <family val="2"/>
    </font>
    <font>
      <sz val="11"/>
      <color rgb="FF8B0000"/>
      <name val="Arial"/>
      <family val="2"/>
    </font>
    <font>
      <sz val="11"/>
      <color rgb="FF4169E1"/>
      <name val="Arial"/>
      <family val="2"/>
    </font>
    <font>
      <b/>
      <sz val="11"/>
      <color rgb="FF808080"/>
      <name val="Arial"/>
      <family val="2"/>
    </font>
    <font>
      <i/>
      <sz val="10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ACD"/>
      </patternFill>
    </fill>
    <fill>
      <patternFill patternType="solid">
        <fgColor rgb="FFE8F4E8"/>
      </patternFill>
    </fill>
    <fill>
      <patternFill patternType="solid">
        <fgColor rgb="FFB0C4DE"/>
      </patternFill>
    </fill>
    <fill>
      <patternFill patternType="solid">
        <fgColor rgb="FFE8F5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F4E79"/>
      </top>
      <bottom/>
      <diagonal/>
    </border>
    <border>
      <left/>
      <right style="thin">
        <color rgb="FFD3D3D3"/>
      </right>
      <top/>
      <bottom style="medium">
        <color rgb="FF1F4E79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1"/>
  </cellStyleXfs>
  <cellXfs count="59">
    <xf numFmtId="0" fontId="0" fillId="0" borderId="1" xfId="0"/>
    <xf numFmtId="0" fontId="2" fillId="0" borderId="1" xfId="0" applyFont="1"/>
    <xf numFmtId="0" fontId="3" fillId="0" borderId="1" xfId="0" applyFont="1"/>
    <xf numFmtId="0" fontId="4" fillId="0" borderId="1" xfId="0" applyFont="1"/>
    <xf numFmtId="0" fontId="6" fillId="0" borderId="1" xfId="0" applyFont="1"/>
    <xf numFmtId="3" fontId="7" fillId="0" borderId="1" xfId="0" applyNumberFormat="1" applyFont="1"/>
    <xf numFmtId="0" fontId="2" fillId="3" borderId="1" xfId="0" applyFont="1" applyFill="1"/>
    <xf numFmtId="0" fontId="8" fillId="0" borderId="1" xfId="0" applyFont="1" applyAlignment="1">
      <alignment horizontal="left" indent="1"/>
    </xf>
    <xf numFmtId="0" fontId="2" fillId="4" borderId="1" xfId="0" applyFont="1" applyFill="1"/>
    <xf numFmtId="0" fontId="9" fillId="0" borderId="1" xfId="0" applyFont="1"/>
    <xf numFmtId="3" fontId="10" fillId="0" borderId="1" xfId="0" applyNumberFormat="1" applyFont="1"/>
    <xf numFmtId="3" fontId="2" fillId="0" borderId="1" xfId="0" applyNumberFormat="1" applyFont="1"/>
    <xf numFmtId="3" fontId="7" fillId="4" borderId="1" xfId="0" applyNumberFormat="1" applyFont="1" applyFill="1"/>
    <xf numFmtId="0" fontId="11" fillId="0" borderId="1" xfId="0" applyFont="1"/>
    <xf numFmtId="0" fontId="12" fillId="5" borderId="1" xfId="0" applyFont="1" applyFill="1" applyAlignment="1">
      <alignment horizontal="center"/>
    </xf>
    <xf numFmtId="0" fontId="2" fillId="6" borderId="1" xfId="0" applyFont="1" applyFill="1" applyAlignment="1">
      <alignment horizontal="center"/>
    </xf>
    <xf numFmtId="3" fontId="2" fillId="3" borderId="1" xfId="0" applyNumberFormat="1" applyFont="1" applyFill="1"/>
    <xf numFmtId="0" fontId="9" fillId="0" borderId="2" xfId="0" applyFont="1" applyBorder="1"/>
    <xf numFmtId="3" fontId="10" fillId="0" borderId="2" xfId="0" applyNumberFormat="1" applyFont="1" applyBorder="1"/>
    <xf numFmtId="3" fontId="2" fillId="0" borderId="2" xfId="0" applyNumberFormat="1" applyFont="1" applyBorder="1"/>
    <xf numFmtId="3" fontId="13" fillId="0" borderId="1" xfId="0" applyNumberFormat="1" applyFont="1"/>
    <xf numFmtId="3" fontId="9" fillId="0" borderId="1" xfId="0" applyNumberFormat="1" applyFont="1"/>
    <xf numFmtId="0" fontId="14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15" fillId="0" borderId="0" xfId="0" applyFont="1" applyBorder="1" applyAlignment="1">
      <alignment vertical="top"/>
    </xf>
    <xf numFmtId="0" fontId="16" fillId="0" borderId="0" xfId="0" applyFont="1" applyBorder="1" applyAlignment="1">
      <alignment vertical="top"/>
    </xf>
    <xf numFmtId="3" fontId="7" fillId="0" borderId="0" xfId="0" applyNumberFormat="1" applyFont="1" applyBorder="1" applyAlignment="1">
      <alignment vertical="top"/>
    </xf>
    <xf numFmtId="0" fontId="17" fillId="3" borderId="0" xfId="0" applyFont="1" applyFill="1" applyBorder="1" applyAlignment="1">
      <alignment vertical="top"/>
    </xf>
    <xf numFmtId="0" fontId="8" fillId="0" borderId="0" xfId="0" applyFont="1" applyBorder="1" applyAlignment="1">
      <alignment horizontal="left" vertical="top" indent="1"/>
    </xf>
    <xf numFmtId="0" fontId="17" fillId="4" borderId="0" xfId="0" applyFont="1" applyFill="1" applyBorder="1" applyAlignment="1">
      <alignment vertical="top"/>
    </xf>
    <xf numFmtId="3" fontId="10" fillId="0" borderId="0" xfId="0" applyNumberFormat="1" applyFont="1" applyBorder="1" applyAlignment="1">
      <alignment vertical="top"/>
    </xf>
    <xf numFmtId="3" fontId="17" fillId="0" borderId="0" xfId="0" applyNumberFormat="1" applyFont="1" applyBorder="1" applyAlignment="1">
      <alignment vertical="top"/>
    </xf>
    <xf numFmtId="0" fontId="17" fillId="0" borderId="3" xfId="0" applyFont="1" applyBorder="1" applyAlignment="1">
      <alignment vertical="top"/>
    </xf>
    <xf numFmtId="0" fontId="5" fillId="2" borderId="3" xfId="0" applyFont="1" applyFill="1" applyBorder="1" applyAlignment="1">
      <alignment horizontal="center" vertical="top"/>
    </xf>
    <xf numFmtId="0" fontId="15" fillId="0" borderId="4" xfId="0" applyFont="1" applyBorder="1" applyAlignment="1">
      <alignment vertical="top"/>
    </xf>
    <xf numFmtId="0" fontId="17" fillId="0" borderId="4" xfId="0" applyFont="1" applyBorder="1" applyAlignment="1">
      <alignment vertical="top"/>
    </xf>
    <xf numFmtId="0" fontId="16" fillId="0" borderId="4" xfId="0" applyFont="1" applyBorder="1" applyAlignment="1">
      <alignment vertical="top"/>
    </xf>
    <xf numFmtId="10" fontId="7" fillId="0" borderId="4" xfId="0" applyNumberFormat="1" applyFont="1" applyBorder="1" applyAlignment="1">
      <alignment vertical="top"/>
    </xf>
    <xf numFmtId="0" fontId="17" fillId="3" borderId="4" xfId="0" applyFont="1" applyFill="1" applyBorder="1" applyAlignment="1">
      <alignment vertical="top"/>
    </xf>
    <xf numFmtId="164" fontId="7" fillId="0" borderId="4" xfId="0" applyNumberFormat="1" applyFont="1" applyBorder="1" applyAlignment="1">
      <alignment vertical="top"/>
    </xf>
    <xf numFmtId="3" fontId="7" fillId="0" borderId="4" xfId="0" applyNumberFormat="1" applyFont="1" applyBorder="1" applyAlignment="1">
      <alignment vertical="top"/>
    </xf>
    <xf numFmtId="3" fontId="10" fillId="0" borderId="4" xfId="0" applyNumberFormat="1" applyFont="1" applyBorder="1" applyAlignment="1">
      <alignment vertical="top"/>
    </xf>
    <xf numFmtId="3" fontId="18" fillId="0" borderId="4" xfId="0" applyNumberFormat="1" applyFont="1" applyBorder="1" applyAlignment="1">
      <alignment vertical="top"/>
    </xf>
    <xf numFmtId="3" fontId="17" fillId="3" borderId="4" xfId="0" applyNumberFormat="1" applyFont="1" applyFill="1" applyBorder="1" applyAlignment="1">
      <alignment vertical="top"/>
    </xf>
    <xf numFmtId="4" fontId="10" fillId="0" borderId="4" xfId="0" applyNumberFormat="1" applyFont="1" applyBorder="1" applyAlignment="1">
      <alignment vertical="top"/>
    </xf>
    <xf numFmtId="4" fontId="7" fillId="0" borderId="4" xfId="0" applyNumberFormat="1" applyFont="1" applyBorder="1" applyAlignment="1">
      <alignment vertical="top"/>
    </xf>
    <xf numFmtId="3" fontId="17" fillId="0" borderId="4" xfId="0" applyNumberFormat="1" applyFont="1" applyBorder="1" applyAlignment="1">
      <alignment vertical="top"/>
    </xf>
    <xf numFmtId="10" fontId="10" fillId="0" borderId="4" xfId="0" applyNumberFormat="1" applyFont="1" applyBorder="1" applyAlignment="1">
      <alignment vertical="top"/>
    </xf>
    <xf numFmtId="4" fontId="17" fillId="0" borderId="4" xfId="0" applyNumberFormat="1" applyFont="1" applyBorder="1" applyAlignment="1">
      <alignment vertical="top"/>
    </xf>
    <xf numFmtId="0" fontId="15" fillId="0" borderId="4" xfId="0" applyFont="1" applyBorder="1" applyAlignment="1">
      <alignment horizontal="center" vertical="top"/>
    </xf>
    <xf numFmtId="0" fontId="19" fillId="0" borderId="4" xfId="0" applyFont="1" applyBorder="1" applyAlignment="1">
      <alignment horizontal="center" vertical="top"/>
    </xf>
    <xf numFmtId="0" fontId="20" fillId="0" borderId="4" xfId="0" applyFont="1" applyBorder="1" applyAlignment="1">
      <alignment horizontal="center" vertical="top"/>
    </xf>
    <xf numFmtId="0" fontId="16" fillId="0" borderId="4" xfId="0" applyFont="1" applyBorder="1" applyAlignment="1">
      <alignment horizontal="center" vertical="top"/>
    </xf>
    <xf numFmtId="0" fontId="21" fillId="0" borderId="4" xfId="0" applyFont="1" applyBorder="1" applyAlignment="1">
      <alignment horizontal="center" vertical="top"/>
    </xf>
    <xf numFmtId="0" fontId="22" fillId="0" borderId="4" xfId="0" applyFont="1" applyBorder="1" applyAlignment="1">
      <alignment horizontal="center" vertical="top"/>
    </xf>
    <xf numFmtId="0" fontId="23" fillId="0" borderId="0" xfId="0" applyFont="1" applyBorder="1" applyAlignment="1">
      <alignment vertical="top"/>
    </xf>
    <xf numFmtId="0" fontId="16" fillId="0" borderId="5" xfId="0" applyFont="1" applyBorder="1" applyAlignment="1">
      <alignment vertical="top"/>
    </xf>
    <xf numFmtId="17" fontId="5" fillId="2" borderId="1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5BCB-4962-ED83-08A8-B900875795D8}">
  <dimension ref="B1:O1000"/>
  <sheetViews>
    <sheetView showGridLines="0" tabSelected="1" zoomScale="90" workbookViewId="0">
      <selection activeCell="C5" sqref="C5"/>
    </sheetView>
  </sheetViews>
  <sheetFormatPr defaultColWidth="9" defaultRowHeight="16" customHeight="1" x14ac:dyDescent="0.35"/>
  <cols>
    <col min="1" max="1" width="9" style="1"/>
    <col min="2" max="2" width="25" style="1" customWidth="1"/>
    <col min="3" max="14" width="9.33203125" style="1" customWidth="1"/>
    <col min="15" max="15" width="10.58203125" style="1" customWidth="1"/>
    <col min="16" max="16" width="10" style="1" customWidth="1"/>
    <col min="17" max="17" width="8.75" style="1" customWidth="1"/>
    <col min="18" max="16384" width="9" style="1"/>
  </cols>
  <sheetData>
    <row r="1" spans="2:14" ht="16.5" customHeight="1" x14ac:dyDescent="0.35"/>
    <row r="2" spans="2:14" ht="18.75" customHeight="1" x14ac:dyDescent="0.4">
      <c r="B2" s="2" t="s">
        <v>0</v>
      </c>
    </row>
    <row r="3" spans="2:14" ht="15" customHeight="1" x14ac:dyDescent="0.35">
      <c r="B3" s="3" t="s">
        <v>1</v>
      </c>
    </row>
    <row r="4" spans="2:14" ht="15" customHeight="1" x14ac:dyDescent="0.35">
      <c r="C4" s="58">
        <v>45658</v>
      </c>
      <c r="D4" s="58">
        <v>45689</v>
      </c>
      <c r="E4" s="58">
        <v>45717</v>
      </c>
      <c r="F4" s="58">
        <v>45748</v>
      </c>
      <c r="G4" s="58">
        <v>45778</v>
      </c>
      <c r="H4" s="58">
        <v>45809</v>
      </c>
      <c r="I4" s="58">
        <v>45839</v>
      </c>
      <c r="J4" s="58">
        <v>45870</v>
      </c>
      <c r="K4" s="58">
        <v>45901</v>
      </c>
      <c r="L4" s="58">
        <v>45931</v>
      </c>
      <c r="M4" s="58">
        <v>45962</v>
      </c>
      <c r="N4" s="58">
        <v>45992</v>
      </c>
    </row>
    <row r="5" spans="2:14" ht="16.5" customHeight="1" x14ac:dyDescent="0.35">
      <c r="B5" s="4" t="s">
        <v>2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</row>
    <row r="6" spans="2:14" ht="15" customHeight="1" x14ac:dyDescent="0.35">
      <c r="B6" s="7" t="s">
        <v>3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</row>
    <row r="7" spans="2:14" ht="16.5" customHeight="1" x14ac:dyDescent="0.35">
      <c r="B7" s="4" t="s">
        <v>4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</row>
    <row r="8" spans="2:14" ht="15" customHeight="1" x14ac:dyDescent="0.35">
      <c r="B8" s="7" t="s">
        <v>3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</row>
    <row r="9" spans="2:14" ht="16.5" customHeight="1" x14ac:dyDescent="0.35">
      <c r="B9" s="9" t="s">
        <v>5</v>
      </c>
      <c r="C9" s="10">
        <f t="shared" ref="C9:N47" si="0">C5-C7</f>
        <v>0</v>
      </c>
      <c r="D9" s="10">
        <f t="shared" si="0"/>
        <v>0</v>
      </c>
      <c r="E9" s="10">
        <f t="shared" si="0"/>
        <v>0</v>
      </c>
      <c r="F9" s="10">
        <f t="shared" si="0"/>
        <v>0</v>
      </c>
      <c r="G9" s="10">
        <f t="shared" si="0"/>
        <v>0</v>
      </c>
      <c r="H9" s="10">
        <f t="shared" si="0"/>
        <v>0</v>
      </c>
      <c r="I9" s="10">
        <f t="shared" si="0"/>
        <v>0</v>
      </c>
      <c r="J9" s="10">
        <f t="shared" si="0"/>
        <v>0</v>
      </c>
      <c r="K9" s="10">
        <f t="shared" si="0"/>
        <v>0</v>
      </c>
      <c r="L9" s="10">
        <f t="shared" si="0"/>
        <v>0</v>
      </c>
      <c r="M9" s="10">
        <f t="shared" si="0"/>
        <v>0</v>
      </c>
      <c r="N9" s="10">
        <f t="shared" si="0"/>
        <v>0</v>
      </c>
    </row>
    <row r="10" spans="2:14" ht="15" customHeight="1" x14ac:dyDescent="0.35">
      <c r="B10" s="7" t="s">
        <v>3</v>
      </c>
      <c r="C10" s="10">
        <f t="shared" si="0"/>
        <v>0</v>
      </c>
      <c r="D10" s="10">
        <f t="shared" si="0"/>
        <v>0</v>
      </c>
      <c r="E10" s="10">
        <f t="shared" si="0"/>
        <v>0</v>
      </c>
      <c r="F10" s="10">
        <f t="shared" si="0"/>
        <v>0</v>
      </c>
      <c r="G10" s="10">
        <f t="shared" si="0"/>
        <v>0</v>
      </c>
      <c r="H10" s="10">
        <f t="shared" si="0"/>
        <v>0</v>
      </c>
      <c r="I10" s="10">
        <f t="shared" si="0"/>
        <v>0</v>
      </c>
      <c r="J10" s="10">
        <f t="shared" si="0"/>
        <v>0</v>
      </c>
      <c r="K10" s="10">
        <f t="shared" si="0"/>
        <v>0</v>
      </c>
      <c r="L10" s="10">
        <f t="shared" si="0"/>
        <v>0</v>
      </c>
      <c r="M10" s="10">
        <f t="shared" si="0"/>
        <v>0</v>
      </c>
      <c r="N10" s="10">
        <f t="shared" si="0"/>
        <v>0</v>
      </c>
    </row>
    <row r="11" spans="2:14" ht="16.5" customHeight="1" x14ac:dyDescent="0.35">
      <c r="B11" s="4"/>
    </row>
    <row r="12" spans="2:14" ht="16.5" customHeight="1" x14ac:dyDescent="0.35">
      <c r="B12" s="4" t="s">
        <v>6</v>
      </c>
      <c r="C12" s="11">
        <v>1</v>
      </c>
      <c r="D12" s="11">
        <v>1</v>
      </c>
      <c r="E12" s="11">
        <v>1</v>
      </c>
      <c r="F12" s="11">
        <v>1</v>
      </c>
      <c r="G12" s="11">
        <v>1</v>
      </c>
      <c r="H12" s="11">
        <v>1</v>
      </c>
      <c r="I12" s="11">
        <v>1</v>
      </c>
      <c r="J12" s="11">
        <v>1</v>
      </c>
      <c r="K12" s="11">
        <v>1</v>
      </c>
      <c r="L12" s="11">
        <v>1</v>
      </c>
      <c r="M12" s="11">
        <v>1</v>
      </c>
      <c r="N12" s="11">
        <v>1</v>
      </c>
    </row>
    <row r="13" spans="2:14" ht="16.5" customHeight="1" x14ac:dyDescent="0.35">
      <c r="B13" s="7" t="s">
        <v>3</v>
      </c>
      <c r="C13" s="12">
        <v>1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</row>
    <row r="14" spans="2:14" ht="16.5" customHeight="1" x14ac:dyDescent="0.35">
      <c r="B14" s="4"/>
    </row>
    <row r="15" spans="2:14" ht="16.5" customHeight="1" x14ac:dyDescent="0.35">
      <c r="B15" s="9" t="s">
        <v>7</v>
      </c>
      <c r="C15" s="10">
        <f t="shared" ref="C15:N16" si="1">C9-C12</f>
        <v>-1</v>
      </c>
      <c r="D15" s="10">
        <f t="shared" si="1"/>
        <v>-1</v>
      </c>
      <c r="E15" s="10">
        <f t="shared" si="1"/>
        <v>-1</v>
      </c>
      <c r="F15" s="10">
        <f t="shared" si="1"/>
        <v>-1</v>
      </c>
      <c r="G15" s="10">
        <f t="shared" si="1"/>
        <v>-1</v>
      </c>
      <c r="H15" s="10">
        <f t="shared" si="1"/>
        <v>-1</v>
      </c>
      <c r="I15" s="10">
        <f t="shared" si="1"/>
        <v>-1</v>
      </c>
      <c r="J15" s="10">
        <f t="shared" si="1"/>
        <v>-1</v>
      </c>
      <c r="K15" s="10">
        <f t="shared" si="1"/>
        <v>-1</v>
      </c>
      <c r="L15" s="10">
        <f t="shared" si="1"/>
        <v>-1</v>
      </c>
      <c r="M15" s="10">
        <f t="shared" si="1"/>
        <v>-1</v>
      </c>
      <c r="N15" s="10">
        <f t="shared" si="1"/>
        <v>-1</v>
      </c>
    </row>
    <row r="16" spans="2:14" ht="16.5" customHeight="1" x14ac:dyDescent="0.35">
      <c r="B16" s="7" t="s">
        <v>3</v>
      </c>
      <c r="C16" s="10">
        <f t="shared" si="1"/>
        <v>-1</v>
      </c>
      <c r="D16" s="10">
        <f t="shared" si="1"/>
        <v>-1</v>
      </c>
      <c r="E16" s="10">
        <f t="shared" si="1"/>
        <v>-1</v>
      </c>
      <c r="F16" s="10">
        <f t="shared" si="1"/>
        <v>-1</v>
      </c>
      <c r="G16" s="10">
        <f t="shared" si="1"/>
        <v>-1</v>
      </c>
      <c r="H16" s="10">
        <f t="shared" si="1"/>
        <v>-1</v>
      </c>
      <c r="I16" s="10">
        <f t="shared" si="1"/>
        <v>-1</v>
      </c>
      <c r="J16" s="10">
        <f t="shared" si="1"/>
        <v>-1</v>
      </c>
      <c r="K16" s="10">
        <f t="shared" si="1"/>
        <v>-1</v>
      </c>
      <c r="L16" s="10">
        <f t="shared" si="1"/>
        <v>-1</v>
      </c>
      <c r="M16" s="10">
        <f t="shared" si="1"/>
        <v>-1</v>
      </c>
      <c r="N16" s="10">
        <f t="shared" si="1"/>
        <v>-1</v>
      </c>
    </row>
    <row r="17" spans="2:15" ht="16.5" customHeight="1" x14ac:dyDescent="0.35"/>
    <row r="18" spans="2:15" ht="15" customHeight="1" x14ac:dyDescent="0.35">
      <c r="B18" s="13" t="s">
        <v>8</v>
      </c>
    </row>
    <row r="19" spans="2:15" ht="14.25" customHeight="1" x14ac:dyDescent="0.35">
      <c r="B19" s="14" t="s">
        <v>9</v>
      </c>
      <c r="C19" s="58">
        <v>45658</v>
      </c>
      <c r="D19" s="58">
        <v>45689</v>
      </c>
      <c r="E19" s="58">
        <v>45717</v>
      </c>
      <c r="F19" s="58">
        <v>45748</v>
      </c>
      <c r="G19" s="58">
        <v>45778</v>
      </c>
      <c r="H19" s="58">
        <v>45809</v>
      </c>
      <c r="I19" s="58">
        <v>45839</v>
      </c>
      <c r="J19" s="58">
        <v>45870</v>
      </c>
      <c r="K19" s="58">
        <v>45901</v>
      </c>
      <c r="L19" s="58">
        <v>45931</v>
      </c>
      <c r="M19" s="58">
        <v>45962</v>
      </c>
      <c r="N19" s="58">
        <v>45992</v>
      </c>
      <c r="O19" s="14" t="s">
        <v>11</v>
      </c>
    </row>
    <row r="20" spans="2:15" ht="16.5" customHeight="1" x14ac:dyDescent="0.35">
      <c r="B20" s="15" t="s">
        <v>12</v>
      </c>
      <c r="C20" s="16">
        <v>25</v>
      </c>
      <c r="D20" s="16">
        <v>30</v>
      </c>
      <c r="E20" s="16">
        <v>20</v>
      </c>
      <c r="F20" s="16">
        <v>15</v>
      </c>
      <c r="G20" s="16">
        <v>10</v>
      </c>
      <c r="H20" s="16">
        <v>5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/>
      <c r="O20" s="11">
        <f t="shared" ref="O20:O27" si="2">SUM(C20:N20)</f>
        <v>105</v>
      </c>
    </row>
    <row r="21" spans="2:15" ht="16.5" customHeight="1" x14ac:dyDescent="0.35">
      <c r="B21" s="15" t="s">
        <v>13</v>
      </c>
      <c r="C21" s="16">
        <v>0</v>
      </c>
      <c r="D21" s="16">
        <v>0</v>
      </c>
      <c r="E21" s="16">
        <v>0</v>
      </c>
      <c r="F21" s="16">
        <v>50</v>
      </c>
      <c r="G21" s="16">
        <v>75</v>
      </c>
      <c r="H21" s="16">
        <v>100</v>
      </c>
      <c r="I21" s="16">
        <v>50</v>
      </c>
      <c r="J21" s="16">
        <v>25</v>
      </c>
      <c r="K21" s="16">
        <v>10</v>
      </c>
      <c r="L21" s="16">
        <v>5</v>
      </c>
      <c r="M21" s="16">
        <v>0</v>
      </c>
      <c r="N21" s="16"/>
      <c r="O21" s="11">
        <f t="shared" si="2"/>
        <v>315</v>
      </c>
    </row>
    <row r="22" spans="2:15" ht="16.5" customHeight="1" x14ac:dyDescent="0.35">
      <c r="B22" s="15" t="s">
        <v>14</v>
      </c>
      <c r="C22" s="16">
        <v>12</v>
      </c>
      <c r="D22" s="16">
        <v>12</v>
      </c>
      <c r="E22" s="16">
        <v>12</v>
      </c>
      <c r="F22" s="16">
        <v>15</v>
      </c>
      <c r="G22" s="16">
        <v>15</v>
      </c>
      <c r="H22" s="16">
        <v>15</v>
      </c>
      <c r="I22" s="16">
        <v>18</v>
      </c>
      <c r="J22" s="16">
        <v>18</v>
      </c>
      <c r="K22" s="16">
        <v>18</v>
      </c>
      <c r="L22" s="16">
        <v>20</v>
      </c>
      <c r="M22" s="16">
        <v>20</v>
      </c>
      <c r="N22" s="16"/>
      <c r="O22" s="11">
        <f t="shared" si="2"/>
        <v>175</v>
      </c>
    </row>
    <row r="23" spans="2:15" ht="16.5" customHeight="1" x14ac:dyDescent="0.35">
      <c r="B23" s="15" t="s">
        <v>15</v>
      </c>
      <c r="C23" s="16">
        <v>8</v>
      </c>
      <c r="D23" s="16">
        <v>8</v>
      </c>
      <c r="E23" s="16">
        <v>8</v>
      </c>
      <c r="F23" s="16">
        <v>8</v>
      </c>
      <c r="G23" s="16">
        <v>8</v>
      </c>
      <c r="H23" s="16">
        <v>8</v>
      </c>
      <c r="I23" s="16">
        <v>8</v>
      </c>
      <c r="J23" s="16">
        <v>8</v>
      </c>
      <c r="K23" s="16">
        <v>8</v>
      </c>
      <c r="L23" s="16">
        <v>8</v>
      </c>
      <c r="M23" s="16">
        <v>8</v>
      </c>
      <c r="N23" s="16"/>
      <c r="O23" s="11">
        <f t="shared" si="2"/>
        <v>88</v>
      </c>
    </row>
    <row r="24" spans="2:15" ht="16.5" customHeight="1" x14ac:dyDescent="0.35">
      <c r="B24" s="15" t="s">
        <v>16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35</v>
      </c>
      <c r="J24" s="16">
        <v>45</v>
      </c>
      <c r="K24" s="16">
        <v>40</v>
      </c>
      <c r="L24" s="16">
        <v>30</v>
      </c>
      <c r="M24" s="16">
        <v>20</v>
      </c>
      <c r="N24" s="16"/>
      <c r="O24" s="11">
        <f t="shared" si="2"/>
        <v>170</v>
      </c>
    </row>
    <row r="25" spans="2:15" ht="16.5" customHeight="1" x14ac:dyDescent="0.35"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1">
        <f t="shared" si="2"/>
        <v>0</v>
      </c>
    </row>
    <row r="26" spans="2:15" ht="16.5" customHeight="1" x14ac:dyDescent="0.35"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1">
        <f t="shared" si="2"/>
        <v>0</v>
      </c>
    </row>
    <row r="27" spans="2:15" ht="16.5" customHeight="1" x14ac:dyDescent="0.35"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1">
        <f t="shared" si="2"/>
        <v>0</v>
      </c>
    </row>
    <row r="28" spans="2:15" ht="16.5" customHeight="1" x14ac:dyDescent="0.35">
      <c r="B28" s="17" t="s">
        <v>17</v>
      </c>
      <c r="C28" s="18">
        <f t="shared" ref="C28:O28" si="3">SUM(C20:C27)</f>
        <v>45</v>
      </c>
      <c r="D28" s="18">
        <f t="shared" si="3"/>
        <v>50</v>
      </c>
      <c r="E28" s="18">
        <f t="shared" si="3"/>
        <v>40</v>
      </c>
      <c r="F28" s="18">
        <f t="shared" si="3"/>
        <v>88</v>
      </c>
      <c r="G28" s="18">
        <f t="shared" si="3"/>
        <v>108</v>
      </c>
      <c r="H28" s="18">
        <f t="shared" si="3"/>
        <v>128</v>
      </c>
      <c r="I28" s="18">
        <f t="shared" si="3"/>
        <v>111</v>
      </c>
      <c r="J28" s="18">
        <f t="shared" si="3"/>
        <v>96</v>
      </c>
      <c r="K28" s="18">
        <f t="shared" si="3"/>
        <v>76</v>
      </c>
      <c r="L28" s="18">
        <f t="shared" si="3"/>
        <v>63</v>
      </c>
      <c r="M28" s="18">
        <f t="shared" si="3"/>
        <v>48</v>
      </c>
      <c r="N28" s="19">
        <f t="shared" si="3"/>
        <v>0</v>
      </c>
      <c r="O28" s="19">
        <f t="shared" si="3"/>
        <v>853</v>
      </c>
    </row>
    <row r="29" spans="2:15" ht="15" customHeight="1" x14ac:dyDescent="0.35">
      <c r="B29" s="9" t="s">
        <v>18</v>
      </c>
      <c r="C29" s="20">
        <f t="shared" ref="C29:N29" si="4">C15+C28</f>
        <v>44</v>
      </c>
      <c r="D29" s="20">
        <f t="shared" si="4"/>
        <v>49</v>
      </c>
      <c r="E29" s="20">
        <f t="shared" si="4"/>
        <v>39</v>
      </c>
      <c r="F29" s="20">
        <f t="shared" si="4"/>
        <v>87</v>
      </c>
      <c r="G29" s="20">
        <f t="shared" si="4"/>
        <v>107</v>
      </c>
      <c r="H29" s="20">
        <f t="shared" si="4"/>
        <v>127</v>
      </c>
      <c r="I29" s="20">
        <f t="shared" si="4"/>
        <v>110</v>
      </c>
      <c r="J29" s="20">
        <f t="shared" si="4"/>
        <v>95</v>
      </c>
      <c r="K29" s="20">
        <f t="shared" si="4"/>
        <v>75</v>
      </c>
      <c r="L29" s="20">
        <f t="shared" si="4"/>
        <v>62</v>
      </c>
      <c r="M29" s="20">
        <f t="shared" si="4"/>
        <v>47</v>
      </c>
      <c r="N29" s="21">
        <f t="shared" si="4"/>
        <v>-1</v>
      </c>
      <c r="O29" s="21">
        <f>SUM(C29:N29)</f>
        <v>841</v>
      </c>
    </row>
    <row r="30" spans="2:15" ht="16.5" customHeight="1" x14ac:dyDescent="0.35"/>
    <row r="31" spans="2:15" ht="16.5" customHeight="1" x14ac:dyDescent="0.35">
      <c r="B31" s="4" t="s">
        <v>19</v>
      </c>
      <c r="C31" s="5">
        <v>30</v>
      </c>
      <c r="D31" s="5">
        <v>30</v>
      </c>
      <c r="E31" s="5">
        <v>30</v>
      </c>
      <c r="F31" s="5">
        <v>32</v>
      </c>
      <c r="G31" s="5">
        <v>32</v>
      </c>
      <c r="H31" s="5">
        <v>32</v>
      </c>
      <c r="I31" s="5">
        <v>35</v>
      </c>
      <c r="J31" s="5">
        <v>35</v>
      </c>
      <c r="K31" s="5">
        <v>35</v>
      </c>
      <c r="L31" s="5">
        <v>38</v>
      </c>
      <c r="M31" s="5">
        <v>38</v>
      </c>
      <c r="N31" s="6"/>
    </row>
    <row r="32" spans="2:15" ht="15" customHeight="1" x14ac:dyDescent="0.35">
      <c r="B32" s="7" t="s">
        <v>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2:14" ht="16.5" customHeight="1" x14ac:dyDescent="0.35">
      <c r="B33" s="4" t="s">
        <v>20</v>
      </c>
      <c r="C33" s="5">
        <v>15</v>
      </c>
      <c r="D33" s="5">
        <v>15</v>
      </c>
      <c r="E33" s="5">
        <v>15</v>
      </c>
      <c r="F33" s="5">
        <v>16</v>
      </c>
      <c r="G33" s="5">
        <v>16</v>
      </c>
      <c r="H33" s="5">
        <v>16</v>
      </c>
      <c r="I33" s="5">
        <v>18</v>
      </c>
      <c r="J33" s="5">
        <v>18</v>
      </c>
      <c r="K33" s="5">
        <v>18</v>
      </c>
      <c r="L33" s="5">
        <v>20</v>
      </c>
      <c r="M33" s="5">
        <v>20</v>
      </c>
      <c r="N33" s="6"/>
    </row>
    <row r="34" spans="2:14" ht="15" customHeight="1" x14ac:dyDescent="0.35">
      <c r="B34" s="7" t="s">
        <v>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2:14" ht="16.5" customHeight="1" x14ac:dyDescent="0.35">
      <c r="B35" s="9" t="s">
        <v>21</v>
      </c>
      <c r="C35" s="10">
        <f t="shared" ref="C35:N36" si="5">C15-C31-C33</f>
        <v>-46</v>
      </c>
      <c r="D35" s="10">
        <f t="shared" ref="D35:M35" si="6">C29-D31-D33</f>
        <v>-1</v>
      </c>
      <c r="E35" s="10">
        <f t="shared" si="6"/>
        <v>4</v>
      </c>
      <c r="F35" s="10">
        <f t="shared" si="6"/>
        <v>-9</v>
      </c>
      <c r="G35" s="10">
        <f t="shared" si="6"/>
        <v>39</v>
      </c>
      <c r="H35" s="10">
        <f t="shared" si="6"/>
        <v>59</v>
      </c>
      <c r="I35" s="10">
        <f t="shared" si="6"/>
        <v>74</v>
      </c>
      <c r="J35" s="10">
        <f t="shared" si="6"/>
        <v>57</v>
      </c>
      <c r="K35" s="10">
        <f t="shared" si="6"/>
        <v>42</v>
      </c>
      <c r="L35" s="10">
        <f t="shared" si="6"/>
        <v>17</v>
      </c>
      <c r="M35" s="10">
        <f t="shared" si="6"/>
        <v>4</v>
      </c>
      <c r="N35" s="10">
        <f>N29-N31-N33</f>
        <v>-1</v>
      </c>
    </row>
    <row r="36" spans="2:14" ht="16.5" customHeight="1" x14ac:dyDescent="0.35">
      <c r="B36" s="7" t="s">
        <v>3</v>
      </c>
      <c r="C36" s="10">
        <f t="shared" si="5"/>
        <v>-1</v>
      </c>
      <c r="D36" s="10">
        <f t="shared" si="5"/>
        <v>-1</v>
      </c>
      <c r="E36" s="10">
        <f t="shared" si="5"/>
        <v>-1</v>
      </c>
      <c r="F36" s="10">
        <f t="shared" si="5"/>
        <v>-1</v>
      </c>
      <c r="G36" s="10">
        <f t="shared" si="5"/>
        <v>-1</v>
      </c>
      <c r="H36" s="10">
        <f t="shared" si="5"/>
        <v>-1</v>
      </c>
      <c r="I36" s="10">
        <f t="shared" si="5"/>
        <v>-1</v>
      </c>
      <c r="J36" s="10">
        <f t="shared" si="5"/>
        <v>-1</v>
      </c>
      <c r="K36" s="10">
        <f t="shared" si="5"/>
        <v>-1</v>
      </c>
      <c r="L36" s="10">
        <f t="shared" si="5"/>
        <v>-1</v>
      </c>
      <c r="M36" s="10">
        <f t="shared" si="5"/>
        <v>-1</v>
      </c>
      <c r="N36" s="10">
        <f t="shared" si="5"/>
        <v>-1</v>
      </c>
    </row>
    <row r="37" spans="2:14" ht="16.5" customHeight="1" x14ac:dyDescent="0.35"/>
    <row r="38" spans="2:14" ht="16.5" customHeight="1" x14ac:dyDescent="0.35">
      <c r="B38" s="4" t="s">
        <v>22</v>
      </c>
      <c r="C38" s="5">
        <v>45</v>
      </c>
      <c r="D38" s="5">
        <v>44</v>
      </c>
      <c r="E38" s="5">
        <v>43</v>
      </c>
      <c r="F38" s="5">
        <v>42</v>
      </c>
      <c r="G38" s="5">
        <v>41</v>
      </c>
      <c r="H38" s="5">
        <v>40</v>
      </c>
      <c r="I38" s="5">
        <v>39</v>
      </c>
      <c r="J38" s="5">
        <v>38</v>
      </c>
      <c r="K38" s="5">
        <v>37</v>
      </c>
      <c r="L38" s="5">
        <v>36</v>
      </c>
      <c r="M38" s="5">
        <v>35</v>
      </c>
      <c r="N38" s="6"/>
    </row>
    <row r="39" spans="2:14" ht="15" customHeight="1" x14ac:dyDescent="0.35">
      <c r="B39" s="7" t="s">
        <v>3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2:14" ht="16.5" customHeight="1" x14ac:dyDescent="0.35">
      <c r="B40" s="4" t="s">
        <v>23</v>
      </c>
      <c r="C40" s="5">
        <v>5</v>
      </c>
      <c r="D40" s="5">
        <v>3</v>
      </c>
      <c r="E40" s="5">
        <v>8</v>
      </c>
      <c r="F40" s="5">
        <v>4</v>
      </c>
      <c r="G40" s="5">
        <v>6</v>
      </c>
      <c r="H40" s="5">
        <v>2</v>
      </c>
      <c r="I40" s="5">
        <v>7</v>
      </c>
      <c r="J40" s="5">
        <v>5</v>
      </c>
      <c r="K40" s="5">
        <v>9</v>
      </c>
      <c r="L40" s="5">
        <v>3</v>
      </c>
      <c r="M40" s="5">
        <v>6</v>
      </c>
      <c r="N40" s="6"/>
    </row>
    <row r="41" spans="2:14" ht="15" customHeight="1" x14ac:dyDescent="0.35">
      <c r="B41" s="7" t="s">
        <v>3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2:14" ht="16.5" customHeight="1" x14ac:dyDescent="0.35">
      <c r="B42" s="9" t="s">
        <v>24</v>
      </c>
      <c r="C42" s="10">
        <f t="shared" ref="C42:N43" si="7">C35-C38+C40</f>
        <v>-86</v>
      </c>
      <c r="D42" s="10">
        <f t="shared" si="7"/>
        <v>-42</v>
      </c>
      <c r="E42" s="10">
        <f t="shared" si="7"/>
        <v>-31</v>
      </c>
      <c r="F42" s="10">
        <f t="shared" si="7"/>
        <v>-47</v>
      </c>
      <c r="G42" s="10">
        <f t="shared" si="7"/>
        <v>4</v>
      </c>
      <c r="H42" s="10">
        <f t="shared" si="7"/>
        <v>21</v>
      </c>
      <c r="I42" s="10">
        <f t="shared" si="7"/>
        <v>42</v>
      </c>
      <c r="J42" s="10">
        <f t="shared" si="7"/>
        <v>24</v>
      </c>
      <c r="K42" s="10">
        <f t="shared" si="7"/>
        <v>14</v>
      </c>
      <c r="L42" s="10">
        <f t="shared" si="7"/>
        <v>-16</v>
      </c>
      <c r="M42" s="10">
        <f t="shared" si="7"/>
        <v>-25</v>
      </c>
      <c r="N42" s="10">
        <f t="shared" si="7"/>
        <v>-1</v>
      </c>
    </row>
    <row r="43" spans="2:14" ht="16.5" customHeight="1" x14ac:dyDescent="0.35">
      <c r="B43" s="7" t="s">
        <v>3</v>
      </c>
      <c r="C43" s="10">
        <f t="shared" si="7"/>
        <v>-1</v>
      </c>
      <c r="D43" s="10">
        <f t="shared" si="7"/>
        <v>-1</v>
      </c>
      <c r="E43" s="10">
        <f t="shared" si="7"/>
        <v>-1</v>
      </c>
      <c r="F43" s="10">
        <f t="shared" si="7"/>
        <v>-1</v>
      </c>
      <c r="G43" s="10">
        <f t="shared" si="7"/>
        <v>-1</v>
      </c>
      <c r="H43" s="10">
        <f t="shared" si="7"/>
        <v>-1</v>
      </c>
      <c r="I43" s="10">
        <f t="shared" si="7"/>
        <v>-1</v>
      </c>
      <c r="J43" s="10">
        <f t="shared" si="7"/>
        <v>-1</v>
      </c>
      <c r="K43" s="10">
        <f t="shared" si="7"/>
        <v>-1</v>
      </c>
      <c r="L43" s="10">
        <f t="shared" si="7"/>
        <v>-1</v>
      </c>
      <c r="M43" s="10">
        <f t="shared" si="7"/>
        <v>-1</v>
      </c>
      <c r="N43" s="10">
        <f t="shared" si="7"/>
        <v>-1</v>
      </c>
    </row>
    <row r="44" spans="2:14" ht="16.5" customHeight="1" x14ac:dyDescent="0.35">
      <c r="B44" s="4" t="s">
        <v>25</v>
      </c>
      <c r="C44" s="10">
        <f t="shared" ref="C44:N45" si="8">C42*0.25</f>
        <v>-21.5</v>
      </c>
      <c r="D44" s="10">
        <f t="shared" si="8"/>
        <v>-10.5</v>
      </c>
      <c r="E44" s="10">
        <f t="shared" si="8"/>
        <v>-7.75</v>
      </c>
      <c r="F44" s="10">
        <f t="shared" si="8"/>
        <v>-11.75</v>
      </c>
      <c r="G44" s="10">
        <f t="shared" si="8"/>
        <v>1</v>
      </c>
      <c r="H44" s="10">
        <f t="shared" si="8"/>
        <v>5.25</v>
      </c>
      <c r="I44" s="10">
        <f t="shared" si="8"/>
        <v>10.5</v>
      </c>
      <c r="J44" s="10">
        <f t="shared" si="8"/>
        <v>6</v>
      </c>
      <c r="K44" s="10">
        <f t="shared" si="8"/>
        <v>3.5</v>
      </c>
      <c r="L44" s="10">
        <f t="shared" si="8"/>
        <v>-4</v>
      </c>
      <c r="M44" s="10">
        <f t="shared" si="8"/>
        <v>-6.25</v>
      </c>
      <c r="N44" s="10">
        <f t="shared" si="8"/>
        <v>-0.25</v>
      </c>
    </row>
    <row r="45" spans="2:14" ht="16.5" customHeight="1" x14ac:dyDescent="0.35">
      <c r="B45" s="7" t="s">
        <v>3</v>
      </c>
      <c r="C45" s="10">
        <f t="shared" si="8"/>
        <v>-0.25</v>
      </c>
      <c r="D45" s="10">
        <f t="shared" si="8"/>
        <v>-0.25</v>
      </c>
      <c r="E45" s="10">
        <f t="shared" si="8"/>
        <v>-0.25</v>
      </c>
      <c r="F45" s="10">
        <f t="shared" si="8"/>
        <v>-0.25</v>
      </c>
      <c r="G45" s="10">
        <f t="shared" si="8"/>
        <v>-0.25</v>
      </c>
      <c r="H45" s="10">
        <f t="shared" si="8"/>
        <v>-0.25</v>
      </c>
      <c r="I45" s="10">
        <f t="shared" si="8"/>
        <v>-0.25</v>
      </c>
      <c r="J45" s="10">
        <f t="shared" si="8"/>
        <v>-0.25</v>
      </c>
      <c r="K45" s="10">
        <f t="shared" si="8"/>
        <v>-0.25</v>
      </c>
      <c r="L45" s="10">
        <f t="shared" si="8"/>
        <v>-0.25</v>
      </c>
      <c r="M45" s="10">
        <f t="shared" si="8"/>
        <v>-0.25</v>
      </c>
      <c r="N45" s="10">
        <f t="shared" si="8"/>
        <v>-0.25</v>
      </c>
    </row>
    <row r="46" spans="2:14" ht="16.5" customHeight="1" x14ac:dyDescent="0.35">
      <c r="B46" s="9" t="s">
        <v>26</v>
      </c>
      <c r="C46" s="10">
        <f t="shared" si="0"/>
        <v>-64.5</v>
      </c>
      <c r="D46" s="10">
        <f t="shared" si="0"/>
        <v>-31.5</v>
      </c>
      <c r="E46" s="10">
        <f t="shared" si="0"/>
        <v>-23.25</v>
      </c>
      <c r="F46" s="10">
        <f t="shared" si="0"/>
        <v>-35.25</v>
      </c>
      <c r="G46" s="10">
        <f t="shared" si="0"/>
        <v>3</v>
      </c>
      <c r="H46" s="10">
        <f t="shared" si="0"/>
        <v>15.75</v>
      </c>
      <c r="I46" s="10">
        <f t="shared" si="0"/>
        <v>31.5</v>
      </c>
      <c r="J46" s="10">
        <f t="shared" si="0"/>
        <v>18</v>
      </c>
      <c r="K46" s="10">
        <f t="shared" si="0"/>
        <v>10.5</v>
      </c>
      <c r="L46" s="10">
        <f t="shared" si="0"/>
        <v>-12</v>
      </c>
      <c r="M46" s="10">
        <f t="shared" si="0"/>
        <v>-18.75</v>
      </c>
      <c r="N46" s="10">
        <f t="shared" si="0"/>
        <v>-0.75</v>
      </c>
    </row>
    <row r="47" spans="2:14" ht="16.5" customHeight="1" x14ac:dyDescent="0.35">
      <c r="B47" s="7" t="s">
        <v>3</v>
      </c>
      <c r="C47" s="10">
        <f t="shared" si="0"/>
        <v>-0.75</v>
      </c>
      <c r="D47" s="10">
        <f t="shared" si="0"/>
        <v>-0.75</v>
      </c>
      <c r="E47" s="10">
        <f t="shared" si="0"/>
        <v>-0.75</v>
      </c>
      <c r="F47" s="10">
        <f t="shared" si="0"/>
        <v>-0.75</v>
      </c>
      <c r="G47" s="10">
        <f t="shared" si="0"/>
        <v>-0.75</v>
      </c>
      <c r="H47" s="10">
        <f t="shared" si="0"/>
        <v>-0.75</v>
      </c>
      <c r="I47" s="10">
        <f t="shared" si="0"/>
        <v>-0.75</v>
      </c>
      <c r="J47" s="10">
        <f t="shared" si="0"/>
        <v>-0.75</v>
      </c>
      <c r="K47" s="10">
        <f t="shared" si="0"/>
        <v>-0.75</v>
      </c>
      <c r="L47" s="10">
        <f t="shared" si="0"/>
        <v>-0.75</v>
      </c>
      <c r="M47" s="10">
        <f t="shared" si="0"/>
        <v>-0.75</v>
      </c>
      <c r="N47" s="10">
        <f t="shared" si="0"/>
        <v>-0.75</v>
      </c>
    </row>
    <row r="48" spans="2:14" ht="16.5" customHeight="1" x14ac:dyDescent="0.35"/>
    <row r="49" ht="16.5" customHeight="1" x14ac:dyDescent="0.35"/>
    <row r="50" ht="16.5" customHeight="1" x14ac:dyDescent="0.35"/>
    <row r="51" ht="16.5" customHeight="1" x14ac:dyDescent="0.35"/>
    <row r="52" ht="16.5" customHeight="1" x14ac:dyDescent="0.35"/>
    <row r="53" ht="16.5" customHeight="1" x14ac:dyDescent="0.35"/>
    <row r="54" ht="16.5" customHeight="1" x14ac:dyDescent="0.35"/>
    <row r="55" ht="16.5" customHeight="1" x14ac:dyDescent="0.35"/>
    <row r="56" ht="16.5" customHeight="1" x14ac:dyDescent="0.35"/>
    <row r="57" ht="16.5" customHeight="1" x14ac:dyDescent="0.35"/>
    <row r="58" ht="16.5" customHeight="1" x14ac:dyDescent="0.35"/>
    <row r="59" ht="16.5" customHeight="1" x14ac:dyDescent="0.35"/>
    <row r="60" ht="16.5" customHeight="1" x14ac:dyDescent="0.35"/>
    <row r="61" ht="16.5" customHeight="1" x14ac:dyDescent="0.35"/>
    <row r="62" ht="16.5" customHeight="1" x14ac:dyDescent="0.35"/>
    <row r="63" ht="16.5" customHeight="1" x14ac:dyDescent="0.35"/>
    <row r="64" ht="16.5" customHeight="1" x14ac:dyDescent="0.35"/>
    <row r="65" ht="16.5" customHeight="1" x14ac:dyDescent="0.35"/>
    <row r="66" ht="16.5" customHeight="1" x14ac:dyDescent="0.35"/>
    <row r="67" ht="16.5" customHeight="1" x14ac:dyDescent="0.35"/>
    <row r="68" ht="16.5" customHeight="1" x14ac:dyDescent="0.35"/>
    <row r="69" ht="16.5" customHeight="1" x14ac:dyDescent="0.35"/>
    <row r="70" ht="16.5" customHeight="1" x14ac:dyDescent="0.35"/>
    <row r="71" ht="16.5" customHeight="1" x14ac:dyDescent="0.35"/>
    <row r="72" ht="16.5" customHeight="1" x14ac:dyDescent="0.35"/>
    <row r="73" ht="16.5" customHeight="1" x14ac:dyDescent="0.35"/>
    <row r="74" ht="16.5" customHeight="1" x14ac:dyDescent="0.35"/>
    <row r="75" ht="16.5" customHeight="1" x14ac:dyDescent="0.35"/>
    <row r="76" ht="16.5" customHeight="1" x14ac:dyDescent="0.35"/>
    <row r="77" ht="16.5" customHeight="1" x14ac:dyDescent="0.35"/>
    <row r="78" ht="16.5" customHeight="1" x14ac:dyDescent="0.35"/>
    <row r="79" ht="16.5" customHeight="1" x14ac:dyDescent="0.35"/>
    <row r="80" ht="16.5" customHeight="1" x14ac:dyDescent="0.35"/>
    <row r="81" ht="16.5" customHeight="1" x14ac:dyDescent="0.35"/>
    <row r="82" ht="16.5" customHeight="1" x14ac:dyDescent="0.35"/>
    <row r="83" ht="16.5" customHeight="1" x14ac:dyDescent="0.35"/>
    <row r="84" ht="16.5" customHeight="1" x14ac:dyDescent="0.35"/>
    <row r="85" ht="16.5" customHeight="1" x14ac:dyDescent="0.35"/>
    <row r="86" ht="16.5" customHeight="1" x14ac:dyDescent="0.35"/>
    <row r="87" ht="16.5" customHeight="1" x14ac:dyDescent="0.35"/>
    <row r="88" ht="16.5" customHeight="1" x14ac:dyDescent="0.35"/>
    <row r="89" ht="16.5" customHeight="1" x14ac:dyDescent="0.35"/>
    <row r="90" ht="16.5" customHeight="1" x14ac:dyDescent="0.35"/>
    <row r="91" ht="16.5" customHeight="1" x14ac:dyDescent="0.35"/>
    <row r="92" ht="16.5" customHeight="1" x14ac:dyDescent="0.35"/>
    <row r="93" ht="16.5" customHeight="1" x14ac:dyDescent="0.35"/>
    <row r="94" ht="16.5" customHeight="1" x14ac:dyDescent="0.35"/>
    <row r="95" ht="16.5" customHeight="1" x14ac:dyDescent="0.35"/>
    <row r="96" ht="16.5" customHeight="1" x14ac:dyDescent="0.35"/>
    <row r="97" ht="16.5" customHeight="1" x14ac:dyDescent="0.35"/>
    <row r="98" ht="16.5" customHeight="1" x14ac:dyDescent="0.35"/>
    <row r="99" ht="16.5" customHeight="1" x14ac:dyDescent="0.35"/>
    <row r="100" ht="16.5" customHeight="1" x14ac:dyDescent="0.35"/>
    <row r="101" ht="16.5" customHeight="1" x14ac:dyDescent="0.35"/>
    <row r="102" ht="16.5" customHeight="1" x14ac:dyDescent="0.35"/>
    <row r="103" ht="16.5" customHeight="1" x14ac:dyDescent="0.35"/>
    <row r="104" ht="16.5" customHeight="1" x14ac:dyDescent="0.35"/>
    <row r="105" ht="16.5" customHeight="1" x14ac:dyDescent="0.35"/>
    <row r="106" ht="16.5" customHeight="1" x14ac:dyDescent="0.35"/>
    <row r="107" ht="16.5" customHeight="1" x14ac:dyDescent="0.35"/>
    <row r="108" ht="16.5" customHeight="1" x14ac:dyDescent="0.35"/>
    <row r="109" ht="16.5" customHeight="1" x14ac:dyDescent="0.35"/>
    <row r="110" ht="16.5" customHeight="1" x14ac:dyDescent="0.35"/>
    <row r="111" ht="16.5" customHeight="1" x14ac:dyDescent="0.35"/>
    <row r="112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  <row r="162" ht="16.5" customHeight="1" x14ac:dyDescent="0.35"/>
    <row r="163" ht="16.5" customHeight="1" x14ac:dyDescent="0.35"/>
    <row r="164" ht="16.5" customHeight="1" x14ac:dyDescent="0.35"/>
    <row r="165" ht="16.5" customHeight="1" x14ac:dyDescent="0.35"/>
    <row r="166" ht="16.5" customHeight="1" x14ac:dyDescent="0.35"/>
    <row r="167" ht="16.5" customHeight="1" x14ac:dyDescent="0.35"/>
    <row r="168" ht="16.5" customHeight="1" x14ac:dyDescent="0.35"/>
    <row r="169" ht="16.5" customHeight="1" x14ac:dyDescent="0.35"/>
    <row r="170" ht="16.5" customHeight="1" x14ac:dyDescent="0.35"/>
    <row r="171" ht="16.5" customHeight="1" x14ac:dyDescent="0.35"/>
    <row r="172" ht="16.5" customHeight="1" x14ac:dyDescent="0.35"/>
    <row r="173" ht="16.5" customHeight="1" x14ac:dyDescent="0.35"/>
    <row r="174" ht="16.5" customHeight="1" x14ac:dyDescent="0.35"/>
    <row r="175" ht="16.5" customHeight="1" x14ac:dyDescent="0.35"/>
    <row r="176" ht="16.5" customHeight="1" x14ac:dyDescent="0.35"/>
    <row r="177" ht="16.5" customHeight="1" x14ac:dyDescent="0.35"/>
    <row r="178" ht="16.5" customHeight="1" x14ac:dyDescent="0.35"/>
    <row r="179" ht="16.5" customHeight="1" x14ac:dyDescent="0.35"/>
    <row r="180" ht="16.5" customHeight="1" x14ac:dyDescent="0.35"/>
    <row r="181" ht="16.5" customHeight="1" x14ac:dyDescent="0.35"/>
    <row r="182" ht="16.5" customHeight="1" x14ac:dyDescent="0.35"/>
    <row r="183" ht="16.5" customHeight="1" x14ac:dyDescent="0.35"/>
    <row r="184" ht="16.5" customHeight="1" x14ac:dyDescent="0.35"/>
    <row r="185" ht="16.5" customHeight="1" x14ac:dyDescent="0.35"/>
    <row r="186" ht="16.5" customHeight="1" x14ac:dyDescent="0.35"/>
    <row r="187" ht="16.5" customHeight="1" x14ac:dyDescent="0.35"/>
    <row r="188" ht="16.5" customHeight="1" x14ac:dyDescent="0.35"/>
    <row r="189" ht="16.5" customHeight="1" x14ac:dyDescent="0.35"/>
    <row r="190" ht="16.5" customHeight="1" x14ac:dyDescent="0.35"/>
    <row r="191" ht="16.5" customHeight="1" x14ac:dyDescent="0.35"/>
    <row r="192" ht="16.5" customHeight="1" x14ac:dyDescent="0.35"/>
    <row r="193" ht="16.5" customHeight="1" x14ac:dyDescent="0.35"/>
    <row r="194" ht="16.5" customHeight="1" x14ac:dyDescent="0.35"/>
    <row r="195" ht="16.5" customHeight="1" x14ac:dyDescent="0.35"/>
    <row r="196" ht="16.5" customHeight="1" x14ac:dyDescent="0.35"/>
    <row r="197" ht="16.5" customHeight="1" x14ac:dyDescent="0.35"/>
    <row r="198" ht="16.5" customHeight="1" x14ac:dyDescent="0.35"/>
    <row r="199" ht="16.5" customHeight="1" x14ac:dyDescent="0.35"/>
    <row r="200" ht="16.5" customHeight="1" x14ac:dyDescent="0.35"/>
    <row r="201" ht="16.5" customHeight="1" x14ac:dyDescent="0.35"/>
    <row r="202" ht="16.5" customHeight="1" x14ac:dyDescent="0.35"/>
    <row r="203" ht="16.5" customHeight="1" x14ac:dyDescent="0.35"/>
    <row r="204" ht="16.5" customHeight="1" x14ac:dyDescent="0.35"/>
    <row r="205" ht="16.5" customHeight="1" x14ac:dyDescent="0.35"/>
    <row r="206" ht="16.5" customHeight="1" x14ac:dyDescent="0.35"/>
    <row r="207" ht="16.5" customHeight="1" x14ac:dyDescent="0.35"/>
    <row r="208" ht="16.5" customHeight="1" x14ac:dyDescent="0.35"/>
    <row r="209" ht="16.5" customHeight="1" x14ac:dyDescent="0.35"/>
    <row r="210" ht="16.5" customHeight="1" x14ac:dyDescent="0.35"/>
    <row r="211" ht="16.5" customHeight="1" x14ac:dyDescent="0.35"/>
    <row r="212" ht="16.5" customHeight="1" x14ac:dyDescent="0.35"/>
    <row r="213" ht="16.5" customHeight="1" x14ac:dyDescent="0.35"/>
    <row r="214" ht="16.5" customHeight="1" x14ac:dyDescent="0.35"/>
    <row r="215" ht="16.5" customHeight="1" x14ac:dyDescent="0.35"/>
    <row r="216" ht="16.5" customHeight="1" x14ac:dyDescent="0.35"/>
    <row r="217" ht="16.5" customHeight="1" x14ac:dyDescent="0.35"/>
    <row r="218" ht="16.5" customHeight="1" x14ac:dyDescent="0.35"/>
    <row r="219" ht="16.5" customHeight="1" x14ac:dyDescent="0.35"/>
    <row r="220" ht="16.5" customHeight="1" x14ac:dyDescent="0.35"/>
    <row r="221" ht="16.5" customHeight="1" x14ac:dyDescent="0.35"/>
    <row r="222" ht="16.5" customHeight="1" x14ac:dyDescent="0.35"/>
    <row r="223" ht="16.5" customHeight="1" x14ac:dyDescent="0.35"/>
    <row r="224" ht="16.5" customHeight="1" x14ac:dyDescent="0.35"/>
    <row r="225" ht="16.5" customHeight="1" x14ac:dyDescent="0.35"/>
    <row r="226" ht="16.5" customHeight="1" x14ac:dyDescent="0.35"/>
    <row r="227" ht="16.5" customHeight="1" x14ac:dyDescent="0.35"/>
    <row r="228" ht="16.5" customHeight="1" x14ac:dyDescent="0.35"/>
    <row r="229" ht="16.5" customHeight="1" x14ac:dyDescent="0.35"/>
    <row r="230" ht="16.5" customHeight="1" x14ac:dyDescent="0.35"/>
    <row r="231" ht="16.5" customHeight="1" x14ac:dyDescent="0.35"/>
    <row r="232" ht="16.5" customHeight="1" x14ac:dyDescent="0.35"/>
    <row r="233" ht="16.5" customHeight="1" x14ac:dyDescent="0.35"/>
    <row r="234" ht="16.5" customHeight="1" x14ac:dyDescent="0.35"/>
    <row r="235" ht="16.5" customHeight="1" x14ac:dyDescent="0.35"/>
    <row r="236" ht="16.5" customHeight="1" x14ac:dyDescent="0.35"/>
    <row r="237" ht="16.5" customHeight="1" x14ac:dyDescent="0.35"/>
    <row r="238" ht="16.5" customHeight="1" x14ac:dyDescent="0.35"/>
    <row r="239" ht="16.5" customHeight="1" x14ac:dyDescent="0.35"/>
    <row r="240" ht="16.5" customHeight="1" x14ac:dyDescent="0.35"/>
    <row r="241" ht="16.5" customHeight="1" x14ac:dyDescent="0.35"/>
    <row r="242" ht="16.5" customHeight="1" x14ac:dyDescent="0.35"/>
    <row r="243" ht="16.5" customHeight="1" x14ac:dyDescent="0.35"/>
    <row r="244" ht="16.5" customHeight="1" x14ac:dyDescent="0.35"/>
    <row r="245" ht="16.5" customHeight="1" x14ac:dyDescent="0.35"/>
    <row r="246" ht="16.5" customHeight="1" x14ac:dyDescent="0.35"/>
    <row r="247" ht="16.5" customHeight="1" x14ac:dyDescent="0.35"/>
    <row r="248" ht="16.5" customHeight="1" x14ac:dyDescent="0.35"/>
    <row r="249" ht="16.5" customHeight="1" x14ac:dyDescent="0.35"/>
    <row r="250" ht="16.5" customHeight="1" x14ac:dyDescent="0.35"/>
    <row r="251" ht="16.5" customHeight="1" x14ac:dyDescent="0.35"/>
    <row r="252" ht="16.5" customHeight="1" x14ac:dyDescent="0.35"/>
    <row r="253" ht="16.5" customHeight="1" x14ac:dyDescent="0.35"/>
    <row r="254" ht="16.5" customHeight="1" x14ac:dyDescent="0.35"/>
    <row r="255" ht="16.5" customHeight="1" x14ac:dyDescent="0.35"/>
    <row r="25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  <row r="452" ht="16.5" customHeight="1" x14ac:dyDescent="0.35"/>
    <row r="453" ht="16.5" customHeight="1" x14ac:dyDescent="0.35"/>
    <row r="454" ht="16.5" customHeight="1" x14ac:dyDescent="0.35"/>
    <row r="455" ht="16.5" customHeight="1" x14ac:dyDescent="0.35"/>
    <row r="456" ht="16.5" customHeight="1" x14ac:dyDescent="0.35"/>
    <row r="457" ht="16.5" customHeight="1" x14ac:dyDescent="0.35"/>
    <row r="458" ht="16.5" customHeight="1" x14ac:dyDescent="0.35"/>
    <row r="459" ht="16.5" customHeight="1" x14ac:dyDescent="0.35"/>
    <row r="460" ht="16.5" customHeight="1" x14ac:dyDescent="0.35"/>
    <row r="461" ht="16.5" customHeight="1" x14ac:dyDescent="0.35"/>
    <row r="462" ht="16.5" customHeight="1" x14ac:dyDescent="0.35"/>
    <row r="463" ht="16.5" customHeight="1" x14ac:dyDescent="0.35"/>
    <row r="464" ht="16.5" customHeight="1" x14ac:dyDescent="0.35"/>
    <row r="465" ht="16.5" customHeight="1" x14ac:dyDescent="0.35"/>
    <row r="466" ht="16.5" customHeight="1" x14ac:dyDescent="0.35"/>
    <row r="467" ht="16.5" customHeight="1" x14ac:dyDescent="0.35"/>
    <row r="468" ht="16.5" customHeight="1" x14ac:dyDescent="0.35"/>
    <row r="469" ht="16.5" customHeight="1" x14ac:dyDescent="0.35"/>
    <row r="470" ht="16.5" customHeight="1" x14ac:dyDescent="0.35"/>
    <row r="471" ht="16.5" customHeight="1" x14ac:dyDescent="0.35"/>
    <row r="472" ht="16.5" customHeight="1" x14ac:dyDescent="0.35"/>
    <row r="473" ht="16.5" customHeight="1" x14ac:dyDescent="0.35"/>
    <row r="474" ht="16.5" customHeight="1" x14ac:dyDescent="0.35"/>
    <row r="475" ht="16.5" customHeight="1" x14ac:dyDescent="0.35"/>
    <row r="476" ht="16.5" customHeight="1" x14ac:dyDescent="0.35"/>
    <row r="477" ht="16.5" customHeight="1" x14ac:dyDescent="0.35"/>
    <row r="478" ht="16.5" customHeight="1" x14ac:dyDescent="0.35"/>
    <row r="479" ht="16.5" customHeight="1" x14ac:dyDescent="0.35"/>
    <row r="480" ht="16.5" customHeight="1" x14ac:dyDescent="0.35"/>
    <row r="481" ht="16.5" customHeight="1" x14ac:dyDescent="0.35"/>
    <row r="482" ht="16.5" customHeight="1" x14ac:dyDescent="0.35"/>
    <row r="483" ht="16.5" customHeight="1" x14ac:dyDescent="0.35"/>
    <row r="484" ht="16.5" customHeight="1" x14ac:dyDescent="0.35"/>
    <row r="485" ht="16.5" customHeight="1" x14ac:dyDescent="0.35"/>
    <row r="486" ht="16.5" customHeight="1" x14ac:dyDescent="0.35"/>
    <row r="487" ht="16.5" customHeight="1" x14ac:dyDescent="0.35"/>
    <row r="488" ht="16.5" customHeight="1" x14ac:dyDescent="0.35"/>
    <row r="489" ht="16.5" customHeight="1" x14ac:dyDescent="0.35"/>
    <row r="490" ht="16.5" customHeight="1" x14ac:dyDescent="0.35"/>
    <row r="491" ht="16.5" customHeight="1" x14ac:dyDescent="0.35"/>
    <row r="492" ht="16.5" customHeight="1" x14ac:dyDescent="0.35"/>
    <row r="493" ht="16.5" customHeight="1" x14ac:dyDescent="0.35"/>
    <row r="494" ht="16.5" customHeight="1" x14ac:dyDescent="0.35"/>
    <row r="495" ht="16.5" customHeight="1" x14ac:dyDescent="0.35"/>
    <row r="496" ht="16.5" customHeight="1" x14ac:dyDescent="0.35"/>
    <row r="497" ht="16.5" customHeight="1" x14ac:dyDescent="0.35"/>
    <row r="498" ht="16.5" customHeight="1" x14ac:dyDescent="0.35"/>
    <row r="499" ht="16.5" customHeight="1" x14ac:dyDescent="0.35"/>
    <row r="500" ht="16.5" customHeight="1" x14ac:dyDescent="0.35"/>
    <row r="501" ht="16.5" customHeight="1" x14ac:dyDescent="0.35"/>
    <row r="502" ht="16.5" customHeight="1" x14ac:dyDescent="0.35"/>
    <row r="503" ht="16.5" customHeight="1" x14ac:dyDescent="0.35"/>
    <row r="504" ht="16.5" customHeight="1" x14ac:dyDescent="0.35"/>
    <row r="505" ht="16.5" customHeight="1" x14ac:dyDescent="0.35"/>
    <row r="506" ht="16.5" customHeight="1" x14ac:dyDescent="0.35"/>
    <row r="507" ht="16.5" customHeight="1" x14ac:dyDescent="0.35"/>
    <row r="508" ht="16.5" customHeight="1" x14ac:dyDescent="0.35"/>
    <row r="509" ht="16.5" customHeight="1" x14ac:dyDescent="0.35"/>
    <row r="510" ht="16.5" customHeight="1" x14ac:dyDescent="0.35"/>
    <row r="511" ht="16.5" customHeight="1" x14ac:dyDescent="0.35"/>
    <row r="512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  <row r="993" ht="16.5" customHeight="1" x14ac:dyDescent="0.35"/>
    <row r="994" ht="16.5" customHeight="1" x14ac:dyDescent="0.35"/>
    <row r="995" ht="16.5" customHeight="1" x14ac:dyDescent="0.35"/>
    <row r="996" ht="16.5" customHeight="1" x14ac:dyDescent="0.35"/>
    <row r="997" ht="16.5" customHeight="1" x14ac:dyDescent="0.35"/>
    <row r="998" ht="16.5" customHeight="1" x14ac:dyDescent="0.35"/>
    <row r="999" ht="16.5" customHeight="1" x14ac:dyDescent="0.35"/>
    <row r="1000" ht="16.5" customHeight="1" x14ac:dyDescent="0.35"/>
  </sheetData>
  <dataValidations count="1">
    <dataValidation type="list" allowBlank="1" showErrorMessage="1" sqref="B20:B27" xr:uid="{00000000-0002-0000-0000-000000000000}">
      <formula1>_xlfn._LONGTEXT("One-Time Restructuring,Transaction Costs,Non-Cash Stock Comp,Management Fees,Non-Recurring Legal,Asset Impairment,FX Losses (Non-Cash),Integration Costs,Start-Up Costs,Natural Disaster,One-Time Gains,Insurance Proceeds,Asset Sale Gains,FX Gains (Non-Cash)",",Government Grants,Run-Rate Adjustment,Synergy Adjustment,Other,Like-for-Like Revenue,Like-for-Like EBITDA,Currency Impact,Price/Volume Split,Acquisition EBITDA Run-Rate,Cost Synergies (Capped),Revenue Synergies,Deal Pipeline EBITDA,Divestiture Adjustment",",Carve-Out Costs")</formula1>
    </dataValidation>
  </dataValidations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C7E6-78C8-2E3E-EB07-279846CFFC68}">
  <dimension ref="B2:N45"/>
  <sheetViews>
    <sheetView showGridLines="0" workbookViewId="0">
      <selection activeCell="C6" sqref="C6"/>
    </sheetView>
  </sheetViews>
  <sheetFormatPr defaultColWidth="7.75" defaultRowHeight="15" customHeight="1" x14ac:dyDescent="0.35"/>
  <cols>
    <col min="1" max="1" width="7.75" style="1"/>
    <col min="2" max="2" width="25" style="1" customWidth="1"/>
    <col min="3" max="14" width="9.33203125" style="1" customWidth="1"/>
    <col min="15" max="16" width="10.58203125" style="1" customWidth="1"/>
    <col min="17" max="17" width="8.75" style="1" customWidth="1"/>
    <col min="18" max="16384" width="7.75" style="1"/>
  </cols>
  <sheetData>
    <row r="2" spans="2:14" ht="18" customHeight="1" x14ac:dyDescent="0.35">
      <c r="B2" s="22" t="s">
        <v>27</v>
      </c>
    </row>
    <row r="3" spans="2:14" ht="15" customHeight="1" x14ac:dyDescent="0.35">
      <c r="B3" s="23" t="s">
        <v>1</v>
      </c>
    </row>
    <row r="4" spans="2:14" ht="15" customHeight="1" x14ac:dyDescent="0.35">
      <c r="C4" s="58">
        <v>45658</v>
      </c>
      <c r="D4" s="58">
        <v>45689</v>
      </c>
      <c r="E4" s="58">
        <v>45717</v>
      </c>
      <c r="F4" s="58">
        <v>45748</v>
      </c>
      <c r="G4" s="58">
        <v>45778</v>
      </c>
      <c r="H4" s="58">
        <v>45809</v>
      </c>
      <c r="I4" s="58">
        <v>45839</v>
      </c>
      <c r="J4" s="58">
        <v>45870</v>
      </c>
      <c r="K4" s="58">
        <v>45901</v>
      </c>
      <c r="L4" s="58">
        <v>45931</v>
      </c>
      <c r="M4" s="58">
        <v>45962</v>
      </c>
      <c r="N4" s="58">
        <v>45992</v>
      </c>
    </row>
    <row r="5" spans="2:14" ht="15" customHeight="1" x14ac:dyDescent="0.35">
      <c r="B5" s="25" t="s">
        <v>28</v>
      </c>
    </row>
    <row r="6" spans="2:14" ht="15.75" customHeight="1" x14ac:dyDescent="0.35">
      <c r="B6" s="26" t="s">
        <v>29</v>
      </c>
      <c r="C6" s="27">
        <v>850</v>
      </c>
      <c r="D6" s="27">
        <v>920</v>
      </c>
      <c r="E6" s="27">
        <v>880</v>
      </c>
      <c r="F6" s="27">
        <v>950</v>
      </c>
      <c r="G6" s="27">
        <v>1020</v>
      </c>
      <c r="H6" s="27">
        <v>980</v>
      </c>
      <c r="I6" s="27">
        <v>1100</v>
      </c>
      <c r="J6" s="27">
        <v>1150</v>
      </c>
      <c r="K6" s="27">
        <v>1080</v>
      </c>
      <c r="L6" s="27">
        <v>1200</v>
      </c>
      <c r="M6" s="27">
        <v>1280</v>
      </c>
      <c r="N6" s="28"/>
    </row>
    <row r="7" spans="2:14" ht="15" customHeight="1" x14ac:dyDescent="0.35">
      <c r="B7" s="29" t="s">
        <v>3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2:14" ht="15.75" customHeight="1" x14ac:dyDescent="0.35">
      <c r="B8" s="26" t="s">
        <v>30</v>
      </c>
      <c r="C8" s="27">
        <v>620</v>
      </c>
      <c r="D8" s="27">
        <v>650</v>
      </c>
      <c r="E8" s="27">
        <v>610</v>
      </c>
      <c r="F8" s="27">
        <v>680</v>
      </c>
      <c r="G8" s="27">
        <v>710</v>
      </c>
      <c r="H8" s="27">
        <v>660</v>
      </c>
      <c r="I8" s="27">
        <v>740</v>
      </c>
      <c r="J8" s="27">
        <v>760</v>
      </c>
      <c r="K8" s="27">
        <v>720</v>
      </c>
      <c r="L8" s="27">
        <v>780</v>
      </c>
      <c r="M8" s="27">
        <v>810</v>
      </c>
      <c r="N8" s="28"/>
    </row>
    <row r="9" spans="2:14" ht="15" customHeight="1" x14ac:dyDescent="0.35">
      <c r="B9" s="29" t="s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ht="15.75" customHeight="1" x14ac:dyDescent="0.35">
      <c r="B10" s="26" t="s">
        <v>31</v>
      </c>
      <c r="C10" s="27">
        <v>380</v>
      </c>
      <c r="D10" s="27">
        <v>400</v>
      </c>
      <c r="E10" s="27">
        <v>390</v>
      </c>
      <c r="F10" s="27">
        <v>420</v>
      </c>
      <c r="G10" s="27">
        <v>440</v>
      </c>
      <c r="H10" s="27">
        <v>410</v>
      </c>
      <c r="I10" s="27">
        <v>460</v>
      </c>
      <c r="J10" s="27">
        <v>480</v>
      </c>
      <c r="K10" s="27">
        <v>450</v>
      </c>
      <c r="L10" s="27">
        <v>490</v>
      </c>
      <c r="M10" s="27">
        <v>510</v>
      </c>
      <c r="N10" s="28"/>
    </row>
    <row r="11" spans="2:14" ht="15" customHeight="1" x14ac:dyDescent="0.35">
      <c r="B11" s="29" t="s">
        <v>3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2:14" ht="15.75" customHeight="1" x14ac:dyDescent="0.35">
      <c r="B12" s="26" t="s">
        <v>32</v>
      </c>
      <c r="C12" s="27">
        <v>45</v>
      </c>
      <c r="D12" s="27">
        <v>48</v>
      </c>
      <c r="E12" s="27">
        <v>42</v>
      </c>
      <c r="F12" s="27">
        <v>50</v>
      </c>
      <c r="G12" s="27">
        <v>52</v>
      </c>
      <c r="H12" s="27">
        <v>48</v>
      </c>
      <c r="I12" s="27">
        <v>55</v>
      </c>
      <c r="J12" s="27">
        <v>58</v>
      </c>
      <c r="K12" s="27">
        <v>54</v>
      </c>
      <c r="L12" s="27">
        <v>60</v>
      </c>
      <c r="M12" s="27">
        <v>62</v>
      </c>
      <c r="N12" s="28"/>
    </row>
    <row r="13" spans="2:14" ht="15" customHeight="1" x14ac:dyDescent="0.35">
      <c r="B13" s="29" t="s">
        <v>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2:14" ht="15.75" customHeight="1" x14ac:dyDescent="0.35">
      <c r="B14" s="25" t="s">
        <v>33</v>
      </c>
      <c r="C14" s="31">
        <f t="shared" ref="C14:N15" si="0">SUM(C6,C8,C10,C12)</f>
        <v>1895</v>
      </c>
      <c r="D14" s="31">
        <f t="shared" si="0"/>
        <v>2018</v>
      </c>
      <c r="E14" s="31">
        <f t="shared" si="0"/>
        <v>1922</v>
      </c>
      <c r="F14" s="31">
        <f t="shared" si="0"/>
        <v>2100</v>
      </c>
      <c r="G14" s="31">
        <f t="shared" si="0"/>
        <v>2222</v>
      </c>
      <c r="H14" s="31">
        <f t="shared" si="0"/>
        <v>2098</v>
      </c>
      <c r="I14" s="31">
        <f t="shared" si="0"/>
        <v>2355</v>
      </c>
      <c r="J14" s="31">
        <f t="shared" si="0"/>
        <v>2448</v>
      </c>
      <c r="K14" s="31">
        <f t="shared" si="0"/>
        <v>2304</v>
      </c>
      <c r="L14" s="31">
        <f t="shared" si="0"/>
        <v>2530</v>
      </c>
      <c r="M14" s="31">
        <f t="shared" si="0"/>
        <v>2662</v>
      </c>
      <c r="N14" s="31">
        <f t="shared" si="0"/>
        <v>0</v>
      </c>
    </row>
    <row r="15" spans="2:14" ht="15" customHeight="1" x14ac:dyDescent="0.35">
      <c r="B15" s="26" t="s">
        <v>3</v>
      </c>
      <c r="C15" s="31">
        <f t="shared" si="0"/>
        <v>0</v>
      </c>
      <c r="D15" s="31">
        <f t="shared" si="0"/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</row>
    <row r="16" spans="2:14" ht="15" customHeight="1" x14ac:dyDescent="0.35">
      <c r="B16" s="26"/>
    </row>
    <row r="17" spans="2:14" ht="15.75" customHeight="1" x14ac:dyDescent="0.35">
      <c r="B17" s="26" t="s">
        <v>34</v>
      </c>
      <c r="C17" s="27">
        <v>2200</v>
      </c>
      <c r="D17" s="27">
        <v>2180</v>
      </c>
      <c r="E17" s="27">
        <v>2160</v>
      </c>
      <c r="F17" s="27">
        <v>2140</v>
      </c>
      <c r="G17" s="27">
        <v>2120</v>
      </c>
      <c r="H17" s="27">
        <v>2100</v>
      </c>
      <c r="I17" s="27">
        <v>2080</v>
      </c>
      <c r="J17" s="27">
        <v>2060</v>
      </c>
      <c r="K17" s="27">
        <v>2040</v>
      </c>
      <c r="L17" s="27">
        <v>2020</v>
      </c>
      <c r="M17" s="27">
        <v>2000</v>
      </c>
      <c r="N17" s="28"/>
    </row>
    <row r="18" spans="2:14" ht="15" customHeight="1" x14ac:dyDescent="0.35">
      <c r="B18" s="29" t="s">
        <v>3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spans="2:14" ht="15.75" customHeight="1" x14ac:dyDescent="0.35">
      <c r="B19" s="26" t="s">
        <v>35</v>
      </c>
      <c r="C19" s="27">
        <v>450</v>
      </c>
      <c r="D19" s="27">
        <v>445</v>
      </c>
      <c r="E19" s="27">
        <v>440</v>
      </c>
      <c r="F19" s="27">
        <v>435</v>
      </c>
      <c r="G19" s="27">
        <v>430</v>
      </c>
      <c r="H19" s="27">
        <v>425</v>
      </c>
      <c r="I19" s="27">
        <v>420</v>
      </c>
      <c r="J19" s="27">
        <v>415</v>
      </c>
      <c r="K19" s="27">
        <v>410</v>
      </c>
      <c r="L19" s="27">
        <v>405</v>
      </c>
      <c r="M19" s="27">
        <v>400</v>
      </c>
      <c r="N19" s="28"/>
    </row>
    <row r="20" spans="2:14" ht="15" customHeight="1" x14ac:dyDescent="0.35">
      <c r="B20" s="29" t="s">
        <v>3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1" spans="2:14" ht="15.75" customHeight="1" x14ac:dyDescent="0.35">
      <c r="B21" s="26" t="s">
        <v>36</v>
      </c>
      <c r="C21" s="27">
        <v>1200</v>
      </c>
      <c r="D21" s="27">
        <v>1200</v>
      </c>
      <c r="E21" s="27">
        <v>1200</v>
      </c>
      <c r="F21" s="27">
        <v>1200</v>
      </c>
      <c r="G21" s="27">
        <v>1200</v>
      </c>
      <c r="H21" s="27">
        <v>1200</v>
      </c>
      <c r="I21" s="27">
        <v>1200</v>
      </c>
      <c r="J21" s="27">
        <v>1200</v>
      </c>
      <c r="K21" s="27">
        <v>1200</v>
      </c>
      <c r="L21" s="27">
        <v>1200</v>
      </c>
      <c r="M21" s="27">
        <v>1200</v>
      </c>
      <c r="N21" s="28"/>
    </row>
    <row r="22" spans="2:14" ht="15" customHeight="1" x14ac:dyDescent="0.35">
      <c r="B22" s="29" t="s">
        <v>3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2:14" ht="15.75" customHeight="1" x14ac:dyDescent="0.35">
      <c r="B23" s="25" t="s">
        <v>37</v>
      </c>
      <c r="C23" s="31">
        <f t="shared" ref="C23:N24" si="1">C14+C17+C19+C21</f>
        <v>5745</v>
      </c>
      <c r="D23" s="31">
        <f t="shared" si="1"/>
        <v>5843</v>
      </c>
      <c r="E23" s="31">
        <f t="shared" si="1"/>
        <v>5722</v>
      </c>
      <c r="F23" s="31">
        <f t="shared" si="1"/>
        <v>5875</v>
      </c>
      <c r="G23" s="31">
        <f t="shared" si="1"/>
        <v>5972</v>
      </c>
      <c r="H23" s="31">
        <f t="shared" si="1"/>
        <v>5823</v>
      </c>
      <c r="I23" s="31">
        <f t="shared" si="1"/>
        <v>6055</v>
      </c>
      <c r="J23" s="31">
        <f t="shared" si="1"/>
        <v>6123</v>
      </c>
      <c r="K23" s="31">
        <f t="shared" si="1"/>
        <v>5954</v>
      </c>
      <c r="L23" s="31">
        <f t="shared" si="1"/>
        <v>6155</v>
      </c>
      <c r="M23" s="31">
        <f t="shared" si="1"/>
        <v>6262</v>
      </c>
      <c r="N23" s="31">
        <f t="shared" si="1"/>
        <v>0</v>
      </c>
    </row>
    <row r="24" spans="2:14" ht="15" customHeight="1" x14ac:dyDescent="0.35">
      <c r="B24" s="26" t="s">
        <v>3</v>
      </c>
      <c r="C24" s="31">
        <f t="shared" si="1"/>
        <v>0</v>
      </c>
      <c r="D24" s="31">
        <f t="shared" si="1"/>
        <v>0</v>
      </c>
      <c r="E24" s="31">
        <f t="shared" si="1"/>
        <v>0</v>
      </c>
      <c r="F24" s="31">
        <f t="shared" si="1"/>
        <v>0</v>
      </c>
      <c r="G24" s="31">
        <f t="shared" si="1"/>
        <v>0</v>
      </c>
      <c r="H24" s="31">
        <f t="shared" si="1"/>
        <v>0</v>
      </c>
      <c r="I24" s="31">
        <f t="shared" si="1"/>
        <v>0</v>
      </c>
      <c r="J24" s="31">
        <f t="shared" si="1"/>
        <v>0</v>
      </c>
      <c r="K24" s="31">
        <f t="shared" si="1"/>
        <v>0</v>
      </c>
      <c r="L24" s="31">
        <f t="shared" si="1"/>
        <v>0</v>
      </c>
      <c r="M24" s="31">
        <f t="shared" si="1"/>
        <v>0</v>
      </c>
      <c r="N24" s="31">
        <f t="shared" si="1"/>
        <v>0</v>
      </c>
    </row>
    <row r="26" spans="2:14" ht="15" customHeight="1" x14ac:dyDescent="0.35">
      <c r="B26" s="25" t="s">
        <v>38</v>
      </c>
    </row>
    <row r="27" spans="2:14" ht="15.75" customHeight="1" x14ac:dyDescent="0.35">
      <c r="B27" s="26" t="s">
        <v>39</v>
      </c>
      <c r="C27" s="27">
        <v>280</v>
      </c>
      <c r="D27" s="27">
        <v>295</v>
      </c>
      <c r="E27" s="27">
        <v>275</v>
      </c>
      <c r="F27" s="27">
        <v>310</v>
      </c>
      <c r="G27" s="27">
        <v>325</v>
      </c>
      <c r="H27" s="27">
        <v>300</v>
      </c>
      <c r="I27" s="27">
        <v>340</v>
      </c>
      <c r="J27" s="27">
        <v>355</v>
      </c>
      <c r="K27" s="27">
        <v>330</v>
      </c>
      <c r="L27" s="27">
        <v>370</v>
      </c>
      <c r="M27" s="27">
        <v>385</v>
      </c>
      <c r="N27" s="28"/>
    </row>
    <row r="28" spans="2:14" ht="15" customHeight="1" x14ac:dyDescent="0.35">
      <c r="B28" s="29" t="s">
        <v>3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2:14" ht="15.75" customHeight="1" x14ac:dyDescent="0.35">
      <c r="B29" s="26" t="s">
        <v>40</v>
      </c>
      <c r="C29" s="27">
        <v>180</v>
      </c>
      <c r="D29" s="27">
        <v>190</v>
      </c>
      <c r="E29" s="27">
        <v>175</v>
      </c>
      <c r="F29" s="27">
        <v>200</v>
      </c>
      <c r="G29" s="27">
        <v>210</v>
      </c>
      <c r="H29" s="27">
        <v>195</v>
      </c>
      <c r="I29" s="27">
        <v>220</v>
      </c>
      <c r="J29" s="27">
        <v>230</v>
      </c>
      <c r="K29" s="27">
        <v>215</v>
      </c>
      <c r="L29" s="27">
        <v>240</v>
      </c>
      <c r="M29" s="27">
        <v>250</v>
      </c>
      <c r="N29" s="28"/>
    </row>
    <row r="30" spans="2:14" ht="15" customHeight="1" x14ac:dyDescent="0.35">
      <c r="B30" s="29" t="s">
        <v>3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2:14" ht="15.75" customHeight="1" x14ac:dyDescent="0.35">
      <c r="B31" s="26" t="s">
        <v>41</v>
      </c>
      <c r="C31" s="27">
        <v>250</v>
      </c>
      <c r="D31" s="27">
        <v>250</v>
      </c>
      <c r="E31" s="27">
        <v>250</v>
      </c>
      <c r="F31" s="27">
        <v>250</v>
      </c>
      <c r="G31" s="27">
        <v>250</v>
      </c>
      <c r="H31" s="27">
        <v>250</v>
      </c>
      <c r="I31" s="27">
        <v>250</v>
      </c>
      <c r="J31" s="27">
        <v>250</v>
      </c>
      <c r="K31" s="27">
        <v>250</v>
      </c>
      <c r="L31" s="27">
        <v>250</v>
      </c>
      <c r="M31" s="27">
        <v>250</v>
      </c>
      <c r="N31" s="28"/>
    </row>
    <row r="32" spans="2:14" ht="15" customHeight="1" x14ac:dyDescent="0.35">
      <c r="B32" s="29" t="s">
        <v>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2:14" ht="15.75" customHeight="1" x14ac:dyDescent="0.35">
      <c r="B33" s="25" t="s">
        <v>42</v>
      </c>
      <c r="C33" s="31">
        <f t="shared" ref="C33:N34" si="2">SUM(C27,C29,C31)</f>
        <v>710</v>
      </c>
      <c r="D33" s="31">
        <f t="shared" si="2"/>
        <v>735</v>
      </c>
      <c r="E33" s="31">
        <f t="shared" si="2"/>
        <v>700</v>
      </c>
      <c r="F33" s="31">
        <f t="shared" si="2"/>
        <v>760</v>
      </c>
      <c r="G33" s="31">
        <f t="shared" si="2"/>
        <v>785</v>
      </c>
      <c r="H33" s="31">
        <f t="shared" si="2"/>
        <v>745</v>
      </c>
      <c r="I33" s="31">
        <f t="shared" si="2"/>
        <v>810</v>
      </c>
      <c r="J33" s="31">
        <f t="shared" si="2"/>
        <v>835</v>
      </c>
      <c r="K33" s="31">
        <f t="shared" si="2"/>
        <v>795</v>
      </c>
      <c r="L33" s="31">
        <f t="shared" si="2"/>
        <v>860</v>
      </c>
      <c r="M33" s="31">
        <f t="shared" si="2"/>
        <v>885</v>
      </c>
      <c r="N33" s="31">
        <f t="shared" si="2"/>
        <v>0</v>
      </c>
    </row>
    <row r="34" spans="2:14" ht="15" customHeight="1" x14ac:dyDescent="0.35">
      <c r="B34" s="26" t="s">
        <v>3</v>
      </c>
      <c r="C34" s="31">
        <f t="shared" si="2"/>
        <v>0</v>
      </c>
      <c r="D34" s="31">
        <f t="shared" si="2"/>
        <v>0</v>
      </c>
      <c r="E34" s="31">
        <f t="shared" si="2"/>
        <v>0</v>
      </c>
      <c r="F34" s="31">
        <f t="shared" si="2"/>
        <v>0</v>
      </c>
      <c r="G34" s="31">
        <f t="shared" si="2"/>
        <v>0</v>
      </c>
      <c r="H34" s="31">
        <f t="shared" si="2"/>
        <v>0</v>
      </c>
      <c r="I34" s="31">
        <f t="shared" si="2"/>
        <v>0</v>
      </c>
      <c r="J34" s="31">
        <f t="shared" si="2"/>
        <v>0</v>
      </c>
      <c r="K34" s="31">
        <f t="shared" si="2"/>
        <v>0</v>
      </c>
      <c r="L34" s="31">
        <f t="shared" si="2"/>
        <v>0</v>
      </c>
      <c r="M34" s="31">
        <f t="shared" si="2"/>
        <v>0</v>
      </c>
      <c r="N34" s="31">
        <f t="shared" si="2"/>
        <v>0</v>
      </c>
    </row>
    <row r="35" spans="2:14" ht="15" customHeight="1" x14ac:dyDescent="0.35">
      <c r="B35" s="26"/>
    </row>
    <row r="36" spans="2:14" ht="15.75" customHeight="1" x14ac:dyDescent="0.35">
      <c r="B36" s="26" t="s">
        <v>43</v>
      </c>
      <c r="C36" s="27">
        <v>2800</v>
      </c>
      <c r="D36" s="27">
        <v>2750</v>
      </c>
      <c r="E36" s="27">
        <v>2700</v>
      </c>
      <c r="F36" s="27">
        <v>2650</v>
      </c>
      <c r="G36" s="27">
        <v>2600</v>
      </c>
      <c r="H36" s="27">
        <v>2550</v>
      </c>
      <c r="I36" s="27">
        <v>2500</v>
      </c>
      <c r="J36" s="27">
        <v>2450</v>
      </c>
      <c r="K36" s="27">
        <v>2400</v>
      </c>
      <c r="L36" s="27">
        <v>2350</v>
      </c>
      <c r="M36" s="27">
        <v>2300</v>
      </c>
      <c r="N36" s="28"/>
    </row>
    <row r="37" spans="2:14" ht="15" customHeight="1" x14ac:dyDescent="0.35">
      <c r="B37" s="29" t="s">
        <v>3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2:14" ht="15.75" customHeight="1" x14ac:dyDescent="0.35">
      <c r="B38" s="25" t="s">
        <v>44</v>
      </c>
      <c r="C38" s="31">
        <f t="shared" ref="C38:N39" si="3">C33+C36</f>
        <v>3510</v>
      </c>
      <c r="D38" s="31">
        <f t="shared" si="3"/>
        <v>3485</v>
      </c>
      <c r="E38" s="31">
        <f t="shared" si="3"/>
        <v>3400</v>
      </c>
      <c r="F38" s="31">
        <f t="shared" si="3"/>
        <v>3410</v>
      </c>
      <c r="G38" s="31">
        <f t="shared" si="3"/>
        <v>3385</v>
      </c>
      <c r="H38" s="31">
        <f t="shared" si="3"/>
        <v>3295</v>
      </c>
      <c r="I38" s="31">
        <f t="shared" si="3"/>
        <v>3310</v>
      </c>
      <c r="J38" s="31">
        <f t="shared" si="3"/>
        <v>3285</v>
      </c>
      <c r="K38" s="31">
        <f t="shared" si="3"/>
        <v>3195</v>
      </c>
      <c r="L38" s="31">
        <f t="shared" si="3"/>
        <v>3210</v>
      </c>
      <c r="M38" s="31">
        <f t="shared" si="3"/>
        <v>3185</v>
      </c>
      <c r="N38" s="31">
        <f t="shared" si="3"/>
        <v>0</v>
      </c>
    </row>
    <row r="39" spans="2:14" ht="15" customHeight="1" x14ac:dyDescent="0.35">
      <c r="B39" s="26" t="s">
        <v>3</v>
      </c>
      <c r="C39" s="31">
        <f t="shared" si="3"/>
        <v>0</v>
      </c>
      <c r="D39" s="31">
        <f t="shared" si="3"/>
        <v>0</v>
      </c>
      <c r="E39" s="31">
        <f t="shared" si="3"/>
        <v>0</v>
      </c>
      <c r="F39" s="31">
        <f t="shared" si="3"/>
        <v>0</v>
      </c>
      <c r="G39" s="31">
        <f t="shared" si="3"/>
        <v>0</v>
      </c>
      <c r="H39" s="31">
        <f t="shared" si="3"/>
        <v>0</v>
      </c>
      <c r="I39" s="31">
        <f t="shared" si="3"/>
        <v>0</v>
      </c>
      <c r="J39" s="31">
        <f t="shared" si="3"/>
        <v>0</v>
      </c>
      <c r="K39" s="31">
        <f t="shared" si="3"/>
        <v>0</v>
      </c>
      <c r="L39" s="31">
        <f t="shared" si="3"/>
        <v>0</v>
      </c>
      <c r="M39" s="31">
        <f t="shared" si="3"/>
        <v>0</v>
      </c>
      <c r="N39" s="31">
        <f t="shared" si="3"/>
        <v>0</v>
      </c>
    </row>
    <row r="40" spans="2:14" ht="15" customHeight="1" x14ac:dyDescent="0.35">
      <c r="B40" s="26"/>
    </row>
    <row r="41" spans="2:14" ht="15" customHeight="1" x14ac:dyDescent="0.35">
      <c r="B41" s="25" t="s">
        <v>45</v>
      </c>
    </row>
    <row r="42" spans="2:14" ht="15.75" customHeight="1" x14ac:dyDescent="0.35">
      <c r="B42" s="25" t="s">
        <v>46</v>
      </c>
      <c r="C42" s="31">
        <f t="shared" ref="C42:N43" si="4">C23-C38</f>
        <v>2235</v>
      </c>
      <c r="D42" s="31">
        <f t="shared" si="4"/>
        <v>2358</v>
      </c>
      <c r="E42" s="31">
        <f t="shared" si="4"/>
        <v>2322</v>
      </c>
      <c r="F42" s="31">
        <f t="shared" si="4"/>
        <v>2465</v>
      </c>
      <c r="G42" s="31">
        <f t="shared" si="4"/>
        <v>2587</v>
      </c>
      <c r="H42" s="31">
        <f t="shared" si="4"/>
        <v>2528</v>
      </c>
      <c r="I42" s="31">
        <f t="shared" si="4"/>
        <v>2745</v>
      </c>
      <c r="J42" s="31">
        <f t="shared" si="4"/>
        <v>2838</v>
      </c>
      <c r="K42" s="31">
        <f t="shared" si="4"/>
        <v>2759</v>
      </c>
      <c r="L42" s="31">
        <f t="shared" si="4"/>
        <v>2945</v>
      </c>
      <c r="M42" s="31">
        <f t="shared" si="4"/>
        <v>3077</v>
      </c>
      <c r="N42" s="31">
        <f t="shared" si="4"/>
        <v>0</v>
      </c>
    </row>
    <row r="43" spans="2:14" ht="15" customHeight="1" x14ac:dyDescent="0.35">
      <c r="B43" s="26" t="s">
        <v>3</v>
      </c>
      <c r="C43" s="31">
        <f t="shared" si="4"/>
        <v>0</v>
      </c>
      <c r="D43" s="31">
        <f t="shared" si="4"/>
        <v>0</v>
      </c>
      <c r="E43" s="31">
        <f t="shared" si="4"/>
        <v>0</v>
      </c>
      <c r="F43" s="31">
        <f t="shared" si="4"/>
        <v>0</v>
      </c>
      <c r="G43" s="31">
        <f t="shared" si="4"/>
        <v>0</v>
      </c>
      <c r="H43" s="31">
        <f t="shared" si="4"/>
        <v>0</v>
      </c>
      <c r="I43" s="31">
        <f t="shared" si="4"/>
        <v>0</v>
      </c>
      <c r="J43" s="31">
        <f t="shared" si="4"/>
        <v>0</v>
      </c>
      <c r="K43" s="31">
        <f t="shared" si="4"/>
        <v>0</v>
      </c>
      <c r="L43" s="31">
        <f t="shared" si="4"/>
        <v>0</v>
      </c>
      <c r="M43" s="31">
        <f t="shared" si="4"/>
        <v>0</v>
      </c>
      <c r="N43" s="31">
        <f t="shared" si="4"/>
        <v>0</v>
      </c>
    </row>
    <row r="44" spans="2:14" ht="15.75" customHeight="1" x14ac:dyDescent="0.35">
      <c r="B44" s="25" t="s">
        <v>47</v>
      </c>
      <c r="C44" s="31">
        <f t="shared" ref="C44:N45" si="5">C38+C42</f>
        <v>5745</v>
      </c>
      <c r="D44" s="31">
        <f t="shared" si="5"/>
        <v>5843</v>
      </c>
      <c r="E44" s="31">
        <f t="shared" si="5"/>
        <v>5722</v>
      </c>
      <c r="F44" s="31">
        <f t="shared" si="5"/>
        <v>5875</v>
      </c>
      <c r="G44" s="31">
        <f t="shared" si="5"/>
        <v>5972</v>
      </c>
      <c r="H44" s="31">
        <f t="shared" si="5"/>
        <v>5823</v>
      </c>
      <c r="I44" s="31">
        <f t="shared" si="5"/>
        <v>6055</v>
      </c>
      <c r="J44" s="31">
        <f t="shared" si="5"/>
        <v>6123</v>
      </c>
      <c r="K44" s="31">
        <f t="shared" si="5"/>
        <v>5954</v>
      </c>
      <c r="L44" s="31">
        <f t="shared" si="5"/>
        <v>6155</v>
      </c>
      <c r="M44" s="31">
        <f t="shared" si="5"/>
        <v>6262</v>
      </c>
      <c r="N44" s="31">
        <f t="shared" si="5"/>
        <v>0</v>
      </c>
    </row>
    <row r="45" spans="2:14" ht="15" customHeight="1" x14ac:dyDescent="0.35">
      <c r="B45" s="26" t="s">
        <v>3</v>
      </c>
      <c r="C45" s="31">
        <f t="shared" si="5"/>
        <v>0</v>
      </c>
      <c r="D45" s="31">
        <f t="shared" si="5"/>
        <v>0</v>
      </c>
      <c r="E45" s="31">
        <f t="shared" si="5"/>
        <v>0</v>
      </c>
      <c r="F45" s="31">
        <f t="shared" si="5"/>
        <v>0</v>
      </c>
      <c r="G45" s="31">
        <f t="shared" si="5"/>
        <v>0</v>
      </c>
      <c r="H45" s="31">
        <f t="shared" si="5"/>
        <v>0</v>
      </c>
      <c r="I45" s="31">
        <f t="shared" si="5"/>
        <v>0</v>
      </c>
      <c r="J45" s="31">
        <f t="shared" si="5"/>
        <v>0</v>
      </c>
      <c r="K45" s="31">
        <f t="shared" si="5"/>
        <v>0</v>
      </c>
      <c r="L45" s="31">
        <f t="shared" si="5"/>
        <v>0</v>
      </c>
      <c r="M45" s="31">
        <f t="shared" si="5"/>
        <v>0</v>
      </c>
      <c r="N45" s="31">
        <f t="shared" si="5"/>
        <v>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51C8-A728-ADD8-EEC8-AC46BC7E53F8}">
  <dimension ref="B2:N36"/>
  <sheetViews>
    <sheetView showGridLines="0" workbookViewId="0">
      <selection activeCell="C6" sqref="C6:N11"/>
    </sheetView>
  </sheetViews>
  <sheetFormatPr defaultColWidth="7.75" defaultRowHeight="15" customHeight="1" x14ac:dyDescent="0.35"/>
  <cols>
    <col min="1" max="1" width="7.75" style="1"/>
    <col min="2" max="2" width="25" style="1" customWidth="1"/>
    <col min="3" max="14" width="9.33203125" style="1" customWidth="1"/>
    <col min="15" max="16" width="10.58203125" style="1" customWidth="1"/>
    <col min="17" max="17" width="8.75" style="1" customWidth="1"/>
    <col min="18" max="16384" width="7.75" style="1"/>
  </cols>
  <sheetData>
    <row r="2" spans="2:14" ht="18" customHeight="1" x14ac:dyDescent="0.35">
      <c r="B2" s="22" t="s">
        <v>48</v>
      </c>
    </row>
    <row r="3" spans="2:14" ht="15" customHeight="1" x14ac:dyDescent="0.35">
      <c r="B3" s="23" t="s">
        <v>1</v>
      </c>
    </row>
    <row r="4" spans="2:14" ht="15" customHeight="1" x14ac:dyDescent="0.35">
      <c r="C4" s="58">
        <v>45658</v>
      </c>
      <c r="D4" s="58">
        <v>45689</v>
      </c>
      <c r="E4" s="58">
        <v>45717</v>
      </c>
      <c r="F4" s="58">
        <v>45748</v>
      </c>
      <c r="G4" s="58">
        <v>45778</v>
      </c>
      <c r="H4" s="58">
        <v>45809</v>
      </c>
      <c r="I4" s="58">
        <v>45839</v>
      </c>
      <c r="J4" s="58">
        <v>45870</v>
      </c>
      <c r="K4" s="58">
        <v>45901</v>
      </c>
      <c r="L4" s="58">
        <v>45931</v>
      </c>
      <c r="M4" s="58">
        <v>45962</v>
      </c>
      <c r="N4" s="58">
        <v>45992</v>
      </c>
    </row>
    <row r="5" spans="2:14" ht="15" customHeight="1" x14ac:dyDescent="0.35">
      <c r="B5" s="25" t="s">
        <v>49</v>
      </c>
    </row>
    <row r="6" spans="2:14" ht="15.75" customHeight="1" x14ac:dyDescent="0.35">
      <c r="B6" s="26" t="s">
        <v>26</v>
      </c>
      <c r="C6" s="27">
        <v>266</v>
      </c>
      <c r="D6" s="27">
        <v>281</v>
      </c>
      <c r="E6" s="27">
        <v>268</v>
      </c>
      <c r="F6" s="27">
        <v>296</v>
      </c>
      <c r="G6" s="27">
        <v>314</v>
      </c>
      <c r="H6" s="27">
        <v>291</v>
      </c>
      <c r="I6" s="27">
        <v>328</v>
      </c>
      <c r="J6" s="27">
        <v>329</v>
      </c>
      <c r="K6" s="27">
        <v>326</v>
      </c>
      <c r="L6" s="27">
        <v>332</v>
      </c>
      <c r="M6" s="27">
        <v>341</v>
      </c>
      <c r="N6" s="28"/>
    </row>
    <row r="7" spans="2:14" ht="15" customHeight="1" x14ac:dyDescent="0.35">
      <c r="B7" s="29" t="s">
        <v>3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2:14" ht="15.75" customHeight="1" x14ac:dyDescent="0.35">
      <c r="B8" s="26" t="s">
        <v>50</v>
      </c>
      <c r="C8" s="27">
        <v>45</v>
      </c>
      <c r="D8" s="27">
        <v>45</v>
      </c>
      <c r="E8" s="27">
        <v>45</v>
      </c>
      <c r="F8" s="27">
        <v>48</v>
      </c>
      <c r="G8" s="27">
        <v>48</v>
      </c>
      <c r="H8" s="27">
        <v>48</v>
      </c>
      <c r="I8" s="27">
        <v>53</v>
      </c>
      <c r="J8" s="27">
        <v>53</v>
      </c>
      <c r="K8" s="27">
        <v>53</v>
      </c>
      <c r="L8" s="27">
        <v>58</v>
      </c>
      <c r="M8" s="27">
        <v>58</v>
      </c>
      <c r="N8" s="28"/>
    </row>
    <row r="9" spans="2:14" ht="15" customHeight="1" x14ac:dyDescent="0.35">
      <c r="B9" s="29" t="s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ht="15.75" customHeight="1" x14ac:dyDescent="0.35">
      <c r="B10" s="26" t="s">
        <v>51</v>
      </c>
      <c r="C10" s="27">
        <v>-10</v>
      </c>
      <c r="D10" s="27">
        <v>-15</v>
      </c>
      <c r="E10" s="27">
        <v>25</v>
      </c>
      <c r="F10" s="27">
        <v>-40</v>
      </c>
      <c r="G10" s="27">
        <v>-25</v>
      </c>
      <c r="H10" s="27">
        <v>30</v>
      </c>
      <c r="I10" s="27">
        <v>-50</v>
      </c>
      <c r="J10" s="27">
        <v>-20</v>
      </c>
      <c r="K10" s="27">
        <v>35</v>
      </c>
      <c r="L10" s="27">
        <v>-45</v>
      </c>
      <c r="M10" s="27">
        <v>-25</v>
      </c>
      <c r="N10" s="28"/>
    </row>
    <row r="11" spans="2:14" ht="15" customHeight="1" x14ac:dyDescent="0.35">
      <c r="B11" s="29" t="s">
        <v>3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2:14" ht="15.75" customHeight="1" x14ac:dyDescent="0.35">
      <c r="B12" s="25" t="s">
        <v>52</v>
      </c>
      <c r="C12" s="31">
        <f t="shared" ref="C12:N13" si="0">SUM(C6,C8,C10)</f>
        <v>301</v>
      </c>
      <c r="D12" s="31">
        <f t="shared" si="0"/>
        <v>311</v>
      </c>
      <c r="E12" s="31">
        <f t="shared" si="0"/>
        <v>338</v>
      </c>
      <c r="F12" s="31">
        <f t="shared" si="0"/>
        <v>304</v>
      </c>
      <c r="G12" s="31">
        <f t="shared" si="0"/>
        <v>337</v>
      </c>
      <c r="H12" s="31">
        <f t="shared" si="0"/>
        <v>369</v>
      </c>
      <c r="I12" s="31">
        <f t="shared" si="0"/>
        <v>331</v>
      </c>
      <c r="J12" s="31">
        <f t="shared" si="0"/>
        <v>362</v>
      </c>
      <c r="K12" s="31">
        <f t="shared" si="0"/>
        <v>414</v>
      </c>
      <c r="L12" s="31">
        <f t="shared" si="0"/>
        <v>345</v>
      </c>
      <c r="M12" s="31">
        <f t="shared" si="0"/>
        <v>374</v>
      </c>
      <c r="N12" s="31">
        <f t="shared" si="0"/>
        <v>0</v>
      </c>
    </row>
    <row r="13" spans="2:14" ht="15" customHeight="1" x14ac:dyDescent="0.35">
      <c r="B13" s="26" t="s">
        <v>3</v>
      </c>
      <c r="C13" s="31">
        <f t="shared" si="0"/>
        <v>0</v>
      </c>
      <c r="D13" s="31">
        <f t="shared" si="0"/>
        <v>0</v>
      </c>
      <c r="E13" s="31">
        <f t="shared" si="0"/>
        <v>0</v>
      </c>
      <c r="F13" s="31">
        <f t="shared" si="0"/>
        <v>0</v>
      </c>
      <c r="G13" s="31">
        <f t="shared" si="0"/>
        <v>0</v>
      </c>
      <c r="H13" s="31">
        <f t="shared" si="0"/>
        <v>0</v>
      </c>
      <c r="I13" s="31">
        <f t="shared" si="0"/>
        <v>0</v>
      </c>
      <c r="J13" s="31">
        <f t="shared" si="0"/>
        <v>0</v>
      </c>
      <c r="K13" s="31">
        <f t="shared" si="0"/>
        <v>0</v>
      </c>
      <c r="L13" s="31">
        <f t="shared" si="0"/>
        <v>0</v>
      </c>
      <c r="M13" s="31">
        <f t="shared" si="0"/>
        <v>0</v>
      </c>
      <c r="N13" s="31">
        <f t="shared" si="0"/>
        <v>0</v>
      </c>
    </row>
    <row r="14" spans="2:14" ht="15" customHeight="1" x14ac:dyDescent="0.35">
      <c r="B14" s="26"/>
    </row>
    <row r="15" spans="2:14" ht="15" customHeight="1" x14ac:dyDescent="0.35">
      <c r="B15" s="25" t="s">
        <v>53</v>
      </c>
    </row>
    <row r="16" spans="2:14" ht="15.75" customHeight="1" x14ac:dyDescent="0.35">
      <c r="B16" s="26" t="s">
        <v>54</v>
      </c>
      <c r="C16" s="27">
        <v>-50</v>
      </c>
      <c r="D16" s="27">
        <v>-55</v>
      </c>
      <c r="E16" s="27">
        <v>-45</v>
      </c>
      <c r="F16" s="27">
        <v>-60</v>
      </c>
      <c r="G16" s="27">
        <v>-65</v>
      </c>
      <c r="H16" s="27">
        <v>-50</v>
      </c>
      <c r="I16" s="27">
        <v>-70</v>
      </c>
      <c r="J16" s="27">
        <v>-75</v>
      </c>
      <c r="K16" s="27">
        <v>-55</v>
      </c>
      <c r="L16" s="27">
        <v>-80</v>
      </c>
      <c r="M16" s="27">
        <v>-85</v>
      </c>
      <c r="N16" s="28"/>
    </row>
    <row r="17" spans="2:14" ht="15" customHeight="1" x14ac:dyDescent="0.35">
      <c r="B17" s="29" t="s">
        <v>3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2:14" ht="15" customHeight="1" x14ac:dyDescent="0.35">
      <c r="B18" s="26" t="s">
        <v>55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28"/>
    </row>
    <row r="19" spans="2:14" ht="15" customHeight="1" x14ac:dyDescent="0.35">
      <c r="B19" s="29" t="s">
        <v>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 spans="2:14" ht="15.75" customHeight="1" x14ac:dyDescent="0.35">
      <c r="B20" s="25" t="s">
        <v>56</v>
      </c>
      <c r="C20" s="31">
        <f t="shared" ref="C20:N29" si="1">SUM(C16,C18)</f>
        <v>-50</v>
      </c>
      <c r="D20" s="31">
        <f t="shared" si="1"/>
        <v>-55</v>
      </c>
      <c r="E20" s="31">
        <f t="shared" si="1"/>
        <v>-45</v>
      </c>
      <c r="F20" s="31">
        <f t="shared" si="1"/>
        <v>-60</v>
      </c>
      <c r="G20" s="31">
        <f t="shared" si="1"/>
        <v>-65</v>
      </c>
      <c r="H20" s="31">
        <f t="shared" si="1"/>
        <v>-50</v>
      </c>
      <c r="I20" s="31">
        <f t="shared" si="1"/>
        <v>-70</v>
      </c>
      <c r="J20" s="31">
        <f t="shared" si="1"/>
        <v>-75</v>
      </c>
      <c r="K20" s="31">
        <f t="shared" si="1"/>
        <v>-55</v>
      </c>
      <c r="L20" s="31">
        <f t="shared" si="1"/>
        <v>-80</v>
      </c>
      <c r="M20" s="31">
        <f t="shared" si="1"/>
        <v>-85</v>
      </c>
      <c r="N20" s="31">
        <f t="shared" si="1"/>
        <v>0</v>
      </c>
    </row>
    <row r="21" spans="2:14" ht="15" customHeight="1" x14ac:dyDescent="0.35">
      <c r="B21" s="26" t="s">
        <v>3</v>
      </c>
      <c r="C21" s="31">
        <f t="shared" si="1"/>
        <v>0</v>
      </c>
      <c r="D21" s="31">
        <f t="shared" si="1"/>
        <v>0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</row>
    <row r="22" spans="2:14" ht="15" customHeight="1" x14ac:dyDescent="0.35">
      <c r="B22" s="26"/>
    </row>
    <row r="23" spans="2:14" ht="15" customHeight="1" x14ac:dyDescent="0.35">
      <c r="B23" s="25" t="s">
        <v>57</v>
      </c>
    </row>
    <row r="24" spans="2:14" ht="15.75" customHeight="1" x14ac:dyDescent="0.35">
      <c r="B24" s="26" t="s">
        <v>58</v>
      </c>
      <c r="C24" s="27">
        <v>-50</v>
      </c>
      <c r="D24" s="27">
        <v>-50</v>
      </c>
      <c r="E24" s="27">
        <v>-50</v>
      </c>
      <c r="F24" s="27">
        <v>-50</v>
      </c>
      <c r="G24" s="27">
        <v>-50</v>
      </c>
      <c r="H24" s="27">
        <v>-50</v>
      </c>
      <c r="I24" s="27">
        <v>-50</v>
      </c>
      <c r="J24" s="27">
        <v>-50</v>
      </c>
      <c r="K24" s="27">
        <v>-50</v>
      </c>
      <c r="L24" s="27">
        <v>-50</v>
      </c>
      <c r="M24" s="27">
        <v>-50</v>
      </c>
      <c r="N24" s="28"/>
    </row>
    <row r="25" spans="2:14" ht="15" customHeight="1" x14ac:dyDescent="0.35">
      <c r="B25" s="29" t="s">
        <v>3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2:14" ht="15.75" customHeight="1" x14ac:dyDescent="0.35">
      <c r="B26" s="26" t="s">
        <v>59</v>
      </c>
      <c r="C26" s="32">
        <v>0</v>
      </c>
      <c r="D26" s="32">
        <v>0</v>
      </c>
      <c r="E26" s="32">
        <v>0</v>
      </c>
      <c r="F26" s="27">
        <v>-100</v>
      </c>
      <c r="G26" s="32">
        <v>0</v>
      </c>
      <c r="H26" s="32">
        <v>0</v>
      </c>
      <c r="I26" s="27">
        <v>-100</v>
      </c>
      <c r="J26" s="32">
        <v>0</v>
      </c>
      <c r="K26" s="32">
        <v>0</v>
      </c>
      <c r="L26" s="27">
        <v>-100</v>
      </c>
      <c r="M26" s="32">
        <v>0</v>
      </c>
      <c r="N26" s="28"/>
    </row>
    <row r="27" spans="2:14" ht="15" customHeight="1" x14ac:dyDescent="0.35">
      <c r="B27" s="29" t="s">
        <v>3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spans="2:14" ht="15.75" customHeight="1" x14ac:dyDescent="0.35">
      <c r="B28" s="25" t="s">
        <v>60</v>
      </c>
      <c r="C28" s="31">
        <f t="shared" si="1"/>
        <v>-50</v>
      </c>
      <c r="D28" s="31">
        <f t="shared" si="1"/>
        <v>-50</v>
      </c>
      <c r="E28" s="31">
        <f t="shared" si="1"/>
        <v>-50</v>
      </c>
      <c r="F28" s="31">
        <f t="shared" si="1"/>
        <v>-150</v>
      </c>
      <c r="G28" s="31">
        <f t="shared" si="1"/>
        <v>-50</v>
      </c>
      <c r="H28" s="31">
        <f t="shared" si="1"/>
        <v>-50</v>
      </c>
      <c r="I28" s="31">
        <f t="shared" si="1"/>
        <v>-150</v>
      </c>
      <c r="J28" s="31">
        <f t="shared" si="1"/>
        <v>-50</v>
      </c>
      <c r="K28" s="31">
        <f t="shared" si="1"/>
        <v>-50</v>
      </c>
      <c r="L28" s="31">
        <f t="shared" si="1"/>
        <v>-150</v>
      </c>
      <c r="M28" s="31">
        <f t="shared" si="1"/>
        <v>-50</v>
      </c>
      <c r="N28" s="31">
        <f t="shared" si="1"/>
        <v>0</v>
      </c>
    </row>
    <row r="29" spans="2:14" ht="15" customHeight="1" x14ac:dyDescent="0.35">
      <c r="B29" s="26" t="s">
        <v>3</v>
      </c>
      <c r="C29" s="31">
        <f t="shared" si="1"/>
        <v>0</v>
      </c>
      <c r="D29" s="31">
        <f t="shared" si="1"/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31">
        <f t="shared" si="1"/>
        <v>0</v>
      </c>
      <c r="K29" s="31">
        <f t="shared" si="1"/>
        <v>0</v>
      </c>
      <c r="L29" s="31">
        <f t="shared" si="1"/>
        <v>0</v>
      </c>
      <c r="M29" s="31">
        <f t="shared" si="1"/>
        <v>0</v>
      </c>
      <c r="N29" s="31">
        <f t="shared" si="1"/>
        <v>0</v>
      </c>
    </row>
    <row r="30" spans="2:14" ht="15" customHeight="1" x14ac:dyDescent="0.35">
      <c r="B30" s="26"/>
    </row>
    <row r="31" spans="2:14" ht="15.75" customHeight="1" x14ac:dyDescent="0.35">
      <c r="B31" s="25" t="s">
        <v>61</v>
      </c>
      <c r="C31" s="31">
        <f t="shared" ref="C31:N32" si="2">C12+C20+C28</f>
        <v>201</v>
      </c>
      <c r="D31" s="31">
        <f t="shared" si="2"/>
        <v>206</v>
      </c>
      <c r="E31" s="31">
        <f t="shared" si="2"/>
        <v>243</v>
      </c>
      <c r="F31" s="31">
        <f t="shared" si="2"/>
        <v>94</v>
      </c>
      <c r="G31" s="31">
        <f t="shared" si="2"/>
        <v>222</v>
      </c>
      <c r="H31" s="31">
        <f t="shared" si="2"/>
        <v>269</v>
      </c>
      <c r="I31" s="31">
        <f t="shared" si="2"/>
        <v>111</v>
      </c>
      <c r="J31" s="31">
        <f t="shared" si="2"/>
        <v>237</v>
      </c>
      <c r="K31" s="31">
        <f t="shared" si="2"/>
        <v>309</v>
      </c>
      <c r="L31" s="31">
        <f t="shared" si="2"/>
        <v>115</v>
      </c>
      <c r="M31" s="31">
        <f t="shared" si="2"/>
        <v>239</v>
      </c>
      <c r="N31" s="31">
        <f t="shared" si="2"/>
        <v>0</v>
      </c>
    </row>
    <row r="32" spans="2:14" ht="15" customHeight="1" x14ac:dyDescent="0.35">
      <c r="B32" s="26" t="s">
        <v>3</v>
      </c>
      <c r="C32" s="31">
        <f t="shared" si="2"/>
        <v>0</v>
      </c>
      <c r="D32" s="31">
        <f t="shared" si="2"/>
        <v>0</v>
      </c>
      <c r="E32" s="31">
        <f t="shared" si="2"/>
        <v>0</v>
      </c>
      <c r="F32" s="31">
        <f t="shared" si="2"/>
        <v>0</v>
      </c>
      <c r="G32" s="31">
        <f t="shared" si="2"/>
        <v>0</v>
      </c>
      <c r="H32" s="31">
        <f t="shared" si="2"/>
        <v>0</v>
      </c>
      <c r="I32" s="31">
        <f t="shared" si="2"/>
        <v>0</v>
      </c>
      <c r="J32" s="31">
        <f t="shared" si="2"/>
        <v>0</v>
      </c>
      <c r="K32" s="31">
        <f t="shared" si="2"/>
        <v>0</v>
      </c>
      <c r="L32" s="31">
        <f t="shared" si="2"/>
        <v>0</v>
      </c>
      <c r="M32" s="31">
        <f t="shared" si="2"/>
        <v>0</v>
      </c>
      <c r="N32" s="31">
        <f t="shared" si="2"/>
        <v>0</v>
      </c>
    </row>
    <row r="33" spans="2:14" ht="15.75" customHeight="1" x14ac:dyDescent="0.35">
      <c r="B33" s="26" t="s">
        <v>62</v>
      </c>
      <c r="C33" s="27">
        <v>800</v>
      </c>
      <c r="D33" s="27">
        <v>851</v>
      </c>
      <c r="E33" s="27">
        <v>886</v>
      </c>
      <c r="F33" s="27">
        <v>929</v>
      </c>
      <c r="G33" s="27">
        <v>973</v>
      </c>
      <c r="H33" s="27">
        <v>1095</v>
      </c>
      <c r="I33" s="27">
        <v>1264</v>
      </c>
      <c r="J33" s="27">
        <v>1325</v>
      </c>
      <c r="K33" s="27">
        <v>1462</v>
      </c>
      <c r="L33" s="27">
        <v>1671</v>
      </c>
      <c r="M33" s="27">
        <v>1686</v>
      </c>
      <c r="N33" s="28"/>
    </row>
    <row r="34" spans="2:14" ht="15" customHeight="1" x14ac:dyDescent="0.35">
      <c r="B34" s="29" t="s">
        <v>3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spans="2:14" ht="15.75" customHeight="1" x14ac:dyDescent="0.35">
      <c r="B35" s="25" t="s">
        <v>63</v>
      </c>
      <c r="C35" s="31">
        <f t="shared" ref="C35:N36" si="3">C33+C31</f>
        <v>1001</v>
      </c>
      <c r="D35" s="31">
        <f t="shared" si="3"/>
        <v>1057</v>
      </c>
      <c r="E35" s="31">
        <f t="shared" si="3"/>
        <v>1129</v>
      </c>
      <c r="F35" s="31">
        <f t="shared" si="3"/>
        <v>1023</v>
      </c>
      <c r="G35" s="31">
        <f t="shared" si="3"/>
        <v>1195</v>
      </c>
      <c r="H35" s="31">
        <f t="shared" si="3"/>
        <v>1364</v>
      </c>
      <c r="I35" s="31">
        <f t="shared" si="3"/>
        <v>1375</v>
      </c>
      <c r="J35" s="31">
        <f t="shared" si="3"/>
        <v>1562</v>
      </c>
      <c r="K35" s="31">
        <f t="shared" si="3"/>
        <v>1771</v>
      </c>
      <c r="L35" s="31">
        <f t="shared" si="3"/>
        <v>1786</v>
      </c>
      <c r="M35" s="31">
        <f t="shared" si="3"/>
        <v>1925</v>
      </c>
      <c r="N35" s="31">
        <f t="shared" si="3"/>
        <v>0</v>
      </c>
    </row>
    <row r="36" spans="2:14" ht="15" customHeight="1" x14ac:dyDescent="0.35">
      <c r="B36" s="26" t="s">
        <v>3</v>
      </c>
      <c r="C36" s="31">
        <f t="shared" si="3"/>
        <v>0</v>
      </c>
      <c r="D36" s="31">
        <f t="shared" si="3"/>
        <v>0</v>
      </c>
      <c r="E36" s="31">
        <f t="shared" si="3"/>
        <v>0</v>
      </c>
      <c r="F36" s="31">
        <f t="shared" si="3"/>
        <v>0</v>
      </c>
      <c r="G36" s="31">
        <f t="shared" si="3"/>
        <v>0</v>
      </c>
      <c r="H36" s="31">
        <f t="shared" si="3"/>
        <v>0</v>
      </c>
      <c r="I36" s="31">
        <f t="shared" si="3"/>
        <v>0</v>
      </c>
      <c r="J36" s="31">
        <f t="shared" si="3"/>
        <v>0</v>
      </c>
      <c r="K36" s="31">
        <f t="shared" si="3"/>
        <v>0</v>
      </c>
      <c r="L36" s="31">
        <f t="shared" si="3"/>
        <v>0</v>
      </c>
      <c r="M36" s="31">
        <f t="shared" si="3"/>
        <v>0</v>
      </c>
      <c r="N36" s="31">
        <f t="shared" si="3"/>
        <v>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9988-91E3-6278-2618-4D1CCAC40F38}">
  <dimension ref="B2:N25"/>
  <sheetViews>
    <sheetView showGridLines="0" workbookViewId="0">
      <selection activeCell="B6" sqref="B6"/>
    </sheetView>
  </sheetViews>
  <sheetFormatPr defaultColWidth="7.75" defaultRowHeight="15" customHeight="1" x14ac:dyDescent="0.35"/>
  <cols>
    <col min="1" max="1" width="7.75" style="1"/>
    <col min="2" max="2" width="27.5" style="1" customWidth="1"/>
    <col min="3" max="14" width="10" style="1" customWidth="1"/>
    <col min="15" max="16384" width="7.75" style="1"/>
  </cols>
  <sheetData>
    <row r="2" spans="2:14" ht="18" customHeight="1" x14ac:dyDescent="0.35">
      <c r="B2" s="22" t="s">
        <v>64</v>
      </c>
    </row>
    <row r="3" spans="2:14" ht="15" customHeight="1" x14ac:dyDescent="0.35">
      <c r="B3" s="23" t="s">
        <v>1</v>
      </c>
    </row>
    <row r="4" spans="2:14" ht="15" customHeight="1" x14ac:dyDescent="0.35">
      <c r="B4" s="33"/>
      <c r="C4" s="58">
        <v>45658</v>
      </c>
      <c r="D4" s="58">
        <v>45689</v>
      </c>
      <c r="E4" s="58">
        <v>45717</v>
      </c>
      <c r="F4" s="58">
        <v>45748</v>
      </c>
      <c r="G4" s="58">
        <v>45778</v>
      </c>
      <c r="H4" s="58">
        <v>45809</v>
      </c>
      <c r="I4" s="58">
        <v>45839</v>
      </c>
      <c r="J4" s="58">
        <v>45870</v>
      </c>
      <c r="K4" s="58">
        <v>45901</v>
      </c>
      <c r="L4" s="58">
        <v>45931</v>
      </c>
      <c r="M4" s="58">
        <v>45962</v>
      </c>
      <c r="N4" s="58">
        <v>45992</v>
      </c>
    </row>
    <row r="5" spans="2:14" ht="15" customHeight="1" x14ac:dyDescent="0.35">
      <c r="B5" s="35" t="s">
        <v>65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2:14" ht="15.75" customHeight="1" x14ac:dyDescent="0.35">
      <c r="B6" s="37" t="s">
        <v>66</v>
      </c>
      <c r="C6" s="38">
        <v>0.02</v>
      </c>
      <c r="D6" s="38">
        <v>0.04</v>
      </c>
      <c r="E6" s="38">
        <v>-0.06</v>
      </c>
      <c r="F6" s="38">
        <v>0.1</v>
      </c>
      <c r="G6" s="38">
        <v>0.04</v>
      </c>
      <c r="H6" s="38">
        <v>-0.05</v>
      </c>
      <c r="I6" s="38">
        <v>0.09</v>
      </c>
      <c r="J6" s="38">
        <v>0.01</v>
      </c>
      <c r="K6" s="38">
        <v>-0.03</v>
      </c>
      <c r="L6" s="38">
        <v>0.05</v>
      </c>
      <c r="M6" s="38">
        <v>0.02</v>
      </c>
      <c r="N6" s="39"/>
    </row>
    <row r="7" spans="2:14" ht="15.75" customHeight="1" x14ac:dyDescent="0.35">
      <c r="B7" s="37" t="s">
        <v>67</v>
      </c>
      <c r="C7" s="38">
        <v>0.6</v>
      </c>
      <c r="D7" s="38">
        <v>0.6</v>
      </c>
      <c r="E7" s="38">
        <v>0.6</v>
      </c>
      <c r="F7" s="38">
        <v>0.6</v>
      </c>
      <c r="G7" s="38">
        <v>0.6</v>
      </c>
      <c r="H7" s="38">
        <v>0.6</v>
      </c>
      <c r="I7" s="38">
        <v>0.6</v>
      </c>
      <c r="J7" s="38">
        <v>0.6</v>
      </c>
      <c r="K7" s="38">
        <v>0.6</v>
      </c>
      <c r="L7" s="38">
        <v>0.6</v>
      </c>
      <c r="M7" s="38">
        <v>0.6</v>
      </c>
      <c r="N7" s="39"/>
    </row>
    <row r="8" spans="2:14" ht="15.75" customHeight="1" x14ac:dyDescent="0.35">
      <c r="B8" s="37" t="s">
        <v>68</v>
      </c>
      <c r="C8" s="38">
        <v>0.37</v>
      </c>
      <c r="D8" s="38">
        <v>0.37</v>
      </c>
      <c r="E8" s="38">
        <v>0.36</v>
      </c>
      <c r="F8" s="38">
        <v>0.38</v>
      </c>
      <c r="G8" s="38">
        <v>0.38</v>
      </c>
      <c r="H8" s="38">
        <v>0.37</v>
      </c>
      <c r="I8" s="38">
        <v>0.39</v>
      </c>
      <c r="J8" s="38">
        <v>0.39</v>
      </c>
      <c r="K8" s="38">
        <v>0.38</v>
      </c>
      <c r="L8" s="38">
        <v>0.4</v>
      </c>
      <c r="M8" s="38">
        <v>0.37</v>
      </c>
      <c r="N8" s="39"/>
    </row>
    <row r="9" spans="2:14" ht="15.75" customHeight="1" x14ac:dyDescent="0.35">
      <c r="B9" s="37" t="s">
        <v>69</v>
      </c>
      <c r="C9" s="38">
        <v>0.22</v>
      </c>
      <c r="D9" s="38">
        <v>0.22</v>
      </c>
      <c r="E9" s="38">
        <v>0.23</v>
      </c>
      <c r="F9" s="38">
        <v>0.23</v>
      </c>
      <c r="G9" s="38">
        <v>0.23</v>
      </c>
      <c r="H9" s="38">
        <v>0.23</v>
      </c>
      <c r="I9" s="38">
        <v>0.25</v>
      </c>
      <c r="J9" s="38">
        <v>0.25</v>
      </c>
      <c r="K9" s="38">
        <v>0.24</v>
      </c>
      <c r="L9" s="38">
        <v>0.28000000000000003</v>
      </c>
      <c r="M9" s="38">
        <v>0.23</v>
      </c>
      <c r="N9" s="39"/>
    </row>
    <row r="10" spans="2:14" ht="15.75" customHeight="1" x14ac:dyDescent="0.35">
      <c r="B10" s="37" t="s">
        <v>70</v>
      </c>
      <c r="C10" s="40">
        <v>12</v>
      </c>
      <c r="D10" s="40">
        <v>12.3</v>
      </c>
      <c r="E10" s="40">
        <v>11.5</v>
      </c>
      <c r="F10" s="40">
        <v>12.6</v>
      </c>
      <c r="G10" s="40">
        <v>12.8</v>
      </c>
      <c r="H10" s="40">
        <v>11.9</v>
      </c>
      <c r="I10" s="40">
        <v>13.1</v>
      </c>
      <c r="J10" s="40">
        <v>13.2</v>
      </c>
      <c r="K10" s="40">
        <v>12.5</v>
      </c>
      <c r="L10" s="40">
        <v>13</v>
      </c>
      <c r="M10" s="40">
        <v>13.1</v>
      </c>
      <c r="N10" s="39"/>
    </row>
    <row r="11" spans="2:14" ht="15" customHeight="1" x14ac:dyDescent="0.35">
      <c r="B11" s="37">
        <v>0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</row>
    <row r="12" spans="2:14" ht="15" customHeight="1" x14ac:dyDescent="0.35">
      <c r="B12" s="35" t="s">
        <v>71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</row>
    <row r="13" spans="2:14" ht="15.75" customHeight="1" x14ac:dyDescent="0.35">
      <c r="B13" s="37" t="s">
        <v>72</v>
      </c>
      <c r="C13" s="41">
        <v>100</v>
      </c>
      <c r="D13" s="41">
        <v>102</v>
      </c>
      <c r="E13" s="41">
        <v>103</v>
      </c>
      <c r="F13" s="41">
        <v>103</v>
      </c>
      <c r="G13" s="41">
        <v>106</v>
      </c>
      <c r="H13" s="41">
        <v>108</v>
      </c>
      <c r="I13" s="41">
        <v>107</v>
      </c>
      <c r="J13" s="41">
        <v>108</v>
      </c>
      <c r="K13" s="41">
        <v>110</v>
      </c>
      <c r="L13" s="41">
        <v>112</v>
      </c>
      <c r="M13" s="41">
        <v>113</v>
      </c>
      <c r="N13" s="39"/>
    </row>
    <row r="14" spans="2:14" ht="15.75" customHeight="1" x14ac:dyDescent="0.35">
      <c r="B14" s="37" t="s">
        <v>73</v>
      </c>
      <c r="C14" s="41">
        <v>4</v>
      </c>
      <c r="D14" s="41">
        <v>5</v>
      </c>
      <c r="E14" s="41">
        <v>3</v>
      </c>
      <c r="F14" s="41">
        <v>2</v>
      </c>
      <c r="G14" s="41">
        <v>6</v>
      </c>
      <c r="H14" s="41">
        <v>4</v>
      </c>
      <c r="I14" s="41">
        <v>2</v>
      </c>
      <c r="J14" s="41">
        <v>3</v>
      </c>
      <c r="K14" s="41">
        <v>5</v>
      </c>
      <c r="L14" s="41">
        <v>4</v>
      </c>
      <c r="M14" s="41">
        <v>3</v>
      </c>
      <c r="N14" s="39"/>
    </row>
    <row r="15" spans="2:14" ht="15.75" customHeight="1" x14ac:dyDescent="0.35">
      <c r="B15" s="37" t="s">
        <v>74</v>
      </c>
      <c r="C15" s="41">
        <v>2</v>
      </c>
      <c r="D15" s="41">
        <v>3</v>
      </c>
      <c r="E15" s="41">
        <v>2</v>
      </c>
      <c r="F15" s="41">
        <v>2</v>
      </c>
      <c r="G15" s="41">
        <v>3</v>
      </c>
      <c r="H15" s="41">
        <v>2</v>
      </c>
      <c r="I15" s="41">
        <v>3</v>
      </c>
      <c r="J15" s="41">
        <v>2</v>
      </c>
      <c r="K15" s="41">
        <v>3</v>
      </c>
      <c r="L15" s="41">
        <v>2</v>
      </c>
      <c r="M15" s="41">
        <v>2</v>
      </c>
      <c r="N15" s="39"/>
    </row>
    <row r="16" spans="2:14" ht="15.75" customHeight="1" x14ac:dyDescent="0.35">
      <c r="B16" s="37" t="s">
        <v>75</v>
      </c>
      <c r="C16" s="41">
        <v>450</v>
      </c>
      <c r="D16" s="41">
        <v>458</v>
      </c>
      <c r="E16" s="41">
        <v>462</v>
      </c>
      <c r="F16" s="41">
        <v>470</v>
      </c>
      <c r="G16" s="41">
        <v>480</v>
      </c>
      <c r="H16" s="41">
        <v>485</v>
      </c>
      <c r="I16" s="41">
        <v>495</v>
      </c>
      <c r="J16" s="41">
        <v>502</v>
      </c>
      <c r="K16" s="41">
        <v>510</v>
      </c>
      <c r="L16" s="41">
        <v>520</v>
      </c>
      <c r="M16" s="41">
        <v>528</v>
      </c>
      <c r="N16" s="39"/>
    </row>
    <row r="17" spans="2:14" ht="15.75" customHeight="1" x14ac:dyDescent="0.35">
      <c r="B17" s="37" t="s">
        <v>76</v>
      </c>
      <c r="C17" s="41">
        <v>12</v>
      </c>
      <c r="D17" s="41">
        <v>14</v>
      </c>
      <c r="E17" s="41">
        <v>10</v>
      </c>
      <c r="F17" s="41">
        <v>15</v>
      </c>
      <c r="G17" s="41">
        <v>18</v>
      </c>
      <c r="H17" s="41">
        <v>12</v>
      </c>
      <c r="I17" s="41">
        <v>16</v>
      </c>
      <c r="J17" s="41">
        <v>14</v>
      </c>
      <c r="K17" s="41">
        <v>15</v>
      </c>
      <c r="L17" s="41">
        <v>18</v>
      </c>
      <c r="M17" s="41">
        <v>14</v>
      </c>
      <c r="N17" s="39"/>
    </row>
    <row r="18" spans="2:14" ht="15.75" customHeight="1" x14ac:dyDescent="0.35">
      <c r="B18" s="37" t="s">
        <v>77</v>
      </c>
      <c r="C18" s="41">
        <v>4</v>
      </c>
      <c r="D18" s="41">
        <v>6</v>
      </c>
      <c r="E18" s="41">
        <v>6</v>
      </c>
      <c r="F18" s="41">
        <v>7</v>
      </c>
      <c r="G18" s="41">
        <v>8</v>
      </c>
      <c r="H18" s="41">
        <v>7</v>
      </c>
      <c r="I18" s="41">
        <v>6</v>
      </c>
      <c r="J18" s="41">
        <v>7</v>
      </c>
      <c r="K18" s="41">
        <v>7</v>
      </c>
      <c r="L18" s="41">
        <v>8</v>
      </c>
      <c r="M18" s="41">
        <v>6</v>
      </c>
      <c r="N18" s="39"/>
    </row>
    <row r="19" spans="2:14" ht="15.75" customHeight="1" x14ac:dyDescent="0.35">
      <c r="B19" s="37" t="s">
        <v>78</v>
      </c>
      <c r="C19" s="38">
        <v>1.05</v>
      </c>
      <c r="D19" s="38">
        <v>1.06</v>
      </c>
      <c r="E19" s="38">
        <v>1.04</v>
      </c>
      <c r="F19" s="38">
        <v>1.08</v>
      </c>
      <c r="G19" s="38">
        <v>1.07</v>
      </c>
      <c r="H19" s="38">
        <v>1.05</v>
      </c>
      <c r="I19" s="38">
        <v>1.0900000000000001</v>
      </c>
      <c r="J19" s="38">
        <v>1.08</v>
      </c>
      <c r="K19" s="38">
        <v>1.06</v>
      </c>
      <c r="L19" s="38">
        <v>1.1000000000000001</v>
      </c>
      <c r="M19" s="38">
        <v>1.07</v>
      </c>
      <c r="N19" s="39"/>
    </row>
    <row r="20" spans="2:14" ht="15" customHeight="1" x14ac:dyDescent="0.35">
      <c r="B20" s="37">
        <v>0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9"/>
    </row>
    <row r="21" spans="2:14" ht="15" customHeight="1" x14ac:dyDescent="0.35">
      <c r="B21" s="35" t="s">
        <v>79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9"/>
    </row>
    <row r="22" spans="2:14" ht="15.75" customHeight="1" x14ac:dyDescent="0.35">
      <c r="B22" s="37" t="s">
        <v>80</v>
      </c>
      <c r="C22" s="41">
        <v>45</v>
      </c>
      <c r="D22" s="41">
        <v>48</v>
      </c>
      <c r="E22" s="41">
        <v>47</v>
      </c>
      <c r="F22" s="41">
        <v>50</v>
      </c>
      <c r="G22" s="41">
        <v>52</v>
      </c>
      <c r="H22" s="41">
        <v>49</v>
      </c>
      <c r="I22" s="41">
        <v>55</v>
      </c>
      <c r="J22" s="41">
        <v>56</v>
      </c>
      <c r="K22" s="41">
        <v>53</v>
      </c>
      <c r="L22" s="41">
        <v>58</v>
      </c>
      <c r="M22" s="41">
        <v>60</v>
      </c>
      <c r="N22" s="39"/>
    </row>
    <row r="23" spans="2:14" ht="15.75" customHeight="1" x14ac:dyDescent="0.35">
      <c r="B23" s="37" t="s">
        <v>81</v>
      </c>
      <c r="C23" s="41">
        <v>28</v>
      </c>
      <c r="D23" s="41">
        <v>30</v>
      </c>
      <c r="E23" s="41">
        <v>29</v>
      </c>
      <c r="F23" s="41">
        <v>32</v>
      </c>
      <c r="G23" s="41">
        <v>33</v>
      </c>
      <c r="H23" s="41">
        <v>31</v>
      </c>
      <c r="I23" s="41">
        <v>35</v>
      </c>
      <c r="J23" s="41">
        <v>36</v>
      </c>
      <c r="K23" s="41">
        <v>34</v>
      </c>
      <c r="L23" s="41">
        <v>38</v>
      </c>
      <c r="M23" s="41">
        <v>39</v>
      </c>
      <c r="N23" s="39"/>
    </row>
    <row r="24" spans="2:14" ht="15.75" customHeight="1" x14ac:dyDescent="0.35">
      <c r="B24" s="37" t="s">
        <v>82</v>
      </c>
      <c r="C24" s="41">
        <v>35</v>
      </c>
      <c r="D24" s="41">
        <v>37</v>
      </c>
      <c r="E24" s="41">
        <v>36</v>
      </c>
      <c r="F24" s="41">
        <v>40</v>
      </c>
      <c r="G24" s="41">
        <v>42</v>
      </c>
      <c r="H24" s="41">
        <v>38</v>
      </c>
      <c r="I24" s="41">
        <v>44</v>
      </c>
      <c r="J24" s="41">
        <v>45</v>
      </c>
      <c r="K24" s="41">
        <v>42</v>
      </c>
      <c r="L24" s="41">
        <v>48</v>
      </c>
      <c r="M24" s="41">
        <v>50</v>
      </c>
      <c r="N24" s="39"/>
    </row>
    <row r="25" spans="2:14" ht="15.75" customHeight="1" x14ac:dyDescent="0.35">
      <c r="B25" s="37" t="s">
        <v>83</v>
      </c>
      <c r="C25" s="42">
        <f t="shared" ref="C25:M25" si="0">C22+C23-C24</f>
        <v>38</v>
      </c>
      <c r="D25" s="42">
        <f t="shared" si="0"/>
        <v>41</v>
      </c>
      <c r="E25" s="42">
        <f t="shared" si="0"/>
        <v>40</v>
      </c>
      <c r="F25" s="42">
        <f t="shared" si="0"/>
        <v>42</v>
      </c>
      <c r="G25" s="42">
        <f t="shared" si="0"/>
        <v>43</v>
      </c>
      <c r="H25" s="42">
        <f t="shared" si="0"/>
        <v>42</v>
      </c>
      <c r="I25" s="42">
        <f t="shared" si="0"/>
        <v>46</v>
      </c>
      <c r="J25" s="42">
        <f t="shared" si="0"/>
        <v>47</v>
      </c>
      <c r="K25" s="42">
        <f t="shared" si="0"/>
        <v>45</v>
      </c>
      <c r="L25" s="42">
        <f t="shared" si="0"/>
        <v>48</v>
      </c>
      <c r="M25" s="42">
        <f t="shared" si="0"/>
        <v>49</v>
      </c>
      <c r="N25" s="39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517C-B548-9E15-3113-65788D15CB3B}">
  <dimension ref="B2:N50"/>
  <sheetViews>
    <sheetView showGridLines="0" topLeftCell="A3" workbookViewId="0">
      <selection activeCell="C9" sqref="C9"/>
    </sheetView>
  </sheetViews>
  <sheetFormatPr defaultColWidth="7.75" defaultRowHeight="15" customHeight="1" x14ac:dyDescent="0.35"/>
  <cols>
    <col min="1" max="1" width="7.75" style="1"/>
    <col min="2" max="2" width="35" style="1" customWidth="1"/>
    <col min="3" max="14" width="10" style="1" customWidth="1"/>
    <col min="15" max="16384" width="7.75" style="1"/>
  </cols>
  <sheetData>
    <row r="2" spans="2:14" ht="18" customHeight="1" x14ac:dyDescent="0.35">
      <c r="B2" s="22" t="s">
        <v>84</v>
      </c>
    </row>
    <row r="3" spans="2:14" ht="15" customHeight="1" x14ac:dyDescent="0.35">
      <c r="B3" s="23" t="s">
        <v>1</v>
      </c>
    </row>
    <row r="4" spans="2:14" ht="15" customHeight="1" x14ac:dyDescent="0.35">
      <c r="B4" s="33"/>
      <c r="C4" s="58">
        <v>45658</v>
      </c>
      <c r="D4" s="58">
        <v>45689</v>
      </c>
      <c r="E4" s="58">
        <v>45717</v>
      </c>
      <c r="F4" s="58">
        <v>45748</v>
      </c>
      <c r="G4" s="58">
        <v>45778</v>
      </c>
      <c r="H4" s="58">
        <v>45809</v>
      </c>
      <c r="I4" s="58">
        <v>45839</v>
      </c>
      <c r="J4" s="58">
        <v>45870</v>
      </c>
      <c r="K4" s="58">
        <v>45901</v>
      </c>
      <c r="L4" s="58">
        <v>45931</v>
      </c>
      <c r="M4" s="58">
        <v>45962</v>
      </c>
      <c r="N4" s="58">
        <v>45992</v>
      </c>
    </row>
    <row r="5" spans="2:14" ht="15" customHeight="1" x14ac:dyDescent="0.35">
      <c r="B5" s="35" t="s">
        <v>85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2:14" ht="15.75" customHeight="1" x14ac:dyDescent="0.35">
      <c r="B6" s="37" t="s">
        <v>86</v>
      </c>
      <c r="C6" s="43" cm="1">
        <f t="array" ref="C6">'Debt-Overview'!C25</f>
        <v>3050</v>
      </c>
      <c r="D6" s="43" cm="1">
        <f t="array" ref="D6">'Debt-Overview'!D25</f>
        <v>3000</v>
      </c>
      <c r="E6" s="43" cm="1">
        <f t="array" ref="E6">'Debt-Overview'!E25</f>
        <v>3000</v>
      </c>
      <c r="F6" s="43" cm="1">
        <f t="array" ref="F6">'Debt-Overview'!F25</f>
        <v>2925</v>
      </c>
      <c r="G6" s="43" cm="1">
        <f t="array" ref="G6">'Debt-Overview'!G25</f>
        <v>2850</v>
      </c>
      <c r="H6" s="43" cm="1">
        <f t="array" ref="H6">'Debt-Overview'!H25</f>
        <v>2850</v>
      </c>
      <c r="I6" s="43" cm="1">
        <f t="array" ref="I6">'Debt-Overview'!I25</f>
        <v>2775</v>
      </c>
      <c r="J6" s="43" cm="1">
        <f t="array" ref="J6">'Debt-Overview'!J25</f>
        <v>2750</v>
      </c>
      <c r="K6" s="43" cm="1">
        <f t="array" ref="K6">'Debt-Overview'!K25</f>
        <v>2750</v>
      </c>
      <c r="L6" s="43" cm="1">
        <f t="array" ref="L6">'Debt-Overview'!L25</f>
        <v>2700</v>
      </c>
      <c r="M6" s="43" cm="1">
        <f t="array" ref="M6">'Debt-Overview'!M25</f>
        <v>2675</v>
      </c>
      <c r="N6" s="44" cm="1">
        <f t="array" ref="N6">'Debt-Overview'!N25</f>
        <v>0</v>
      </c>
    </row>
    <row r="7" spans="2:14" ht="15.75" customHeight="1" x14ac:dyDescent="0.35">
      <c r="B7" s="37" t="s">
        <v>29</v>
      </c>
      <c r="C7" s="43" cm="1">
        <f t="array" ref="C7">BS!C6</f>
        <v>850</v>
      </c>
      <c r="D7" s="43" cm="1">
        <f t="array" ref="D7">BS!D6</f>
        <v>920</v>
      </c>
      <c r="E7" s="43" cm="1">
        <f t="array" ref="E7">BS!E6</f>
        <v>880</v>
      </c>
      <c r="F7" s="43" cm="1">
        <f t="array" ref="F7">BS!F6</f>
        <v>950</v>
      </c>
      <c r="G7" s="43" cm="1">
        <f t="array" ref="G7">BS!G6</f>
        <v>1020</v>
      </c>
      <c r="H7" s="43" cm="1">
        <f t="array" ref="H7">BS!H6</f>
        <v>980</v>
      </c>
      <c r="I7" s="43" cm="1">
        <f t="array" ref="I7">BS!I6</f>
        <v>1100</v>
      </c>
      <c r="J7" s="43" cm="1">
        <f t="array" ref="J7">BS!J6</f>
        <v>1150</v>
      </c>
      <c r="K7" s="43" cm="1">
        <f t="array" ref="K7">BS!K6</f>
        <v>1080</v>
      </c>
      <c r="L7" s="43" cm="1">
        <f t="array" ref="L7">BS!L6</f>
        <v>1200</v>
      </c>
      <c r="M7" s="43" cm="1">
        <f t="array" ref="M7">BS!M6</f>
        <v>1280</v>
      </c>
      <c r="N7" s="44" cm="1">
        <f t="array" ref="N7">BS!N6</f>
        <v>0</v>
      </c>
    </row>
    <row r="8" spans="2:14" ht="15.75" customHeight="1" x14ac:dyDescent="0.35">
      <c r="B8" s="37" t="s">
        <v>87</v>
      </c>
      <c r="C8" s="42">
        <f t="shared" ref="C8:N36" si="0">C6-C7</f>
        <v>2200</v>
      </c>
      <c r="D8" s="42">
        <f t="shared" si="0"/>
        <v>2080</v>
      </c>
      <c r="E8" s="42">
        <f t="shared" si="0"/>
        <v>2120</v>
      </c>
      <c r="F8" s="42">
        <f t="shared" si="0"/>
        <v>1975</v>
      </c>
      <c r="G8" s="42">
        <f t="shared" si="0"/>
        <v>1830</v>
      </c>
      <c r="H8" s="42">
        <f t="shared" si="0"/>
        <v>1870</v>
      </c>
      <c r="I8" s="42">
        <f t="shared" si="0"/>
        <v>1675</v>
      </c>
      <c r="J8" s="42">
        <f t="shared" si="0"/>
        <v>1600</v>
      </c>
      <c r="K8" s="42">
        <f t="shared" si="0"/>
        <v>1670</v>
      </c>
      <c r="L8" s="42">
        <f t="shared" si="0"/>
        <v>1500</v>
      </c>
      <c r="M8" s="42">
        <f t="shared" si="0"/>
        <v>1395</v>
      </c>
      <c r="N8" s="42">
        <f t="shared" si="0"/>
        <v>0</v>
      </c>
    </row>
    <row r="9" spans="2:14" ht="15.75" customHeight="1" x14ac:dyDescent="0.35">
      <c r="B9" s="37" t="s">
        <v>88</v>
      </c>
      <c r="C9" s="41">
        <v>8500</v>
      </c>
      <c r="D9" s="41">
        <v>8600</v>
      </c>
      <c r="E9" s="41">
        <v>8700</v>
      </c>
      <c r="F9" s="41">
        <v>8800</v>
      </c>
      <c r="G9" s="41">
        <v>8900</v>
      </c>
      <c r="H9" s="41">
        <v>9000</v>
      </c>
      <c r="I9" s="41">
        <v>9100</v>
      </c>
      <c r="J9" s="41">
        <v>9200</v>
      </c>
      <c r="K9" s="41">
        <v>9300</v>
      </c>
      <c r="L9" s="41">
        <v>9400</v>
      </c>
      <c r="M9" s="41">
        <v>9500</v>
      </c>
      <c r="N9" s="39"/>
    </row>
    <row r="10" spans="2:14" ht="15.75" customHeight="1" x14ac:dyDescent="0.35">
      <c r="B10" s="37" t="s">
        <v>89</v>
      </c>
      <c r="C10" s="42">
        <f t="shared" ref="C10:N10" si="1">C9-C8</f>
        <v>6300</v>
      </c>
      <c r="D10" s="42">
        <f t="shared" si="1"/>
        <v>6520</v>
      </c>
      <c r="E10" s="42">
        <f t="shared" si="1"/>
        <v>6580</v>
      </c>
      <c r="F10" s="42">
        <f t="shared" si="1"/>
        <v>6825</v>
      </c>
      <c r="G10" s="42">
        <f t="shared" si="1"/>
        <v>7070</v>
      </c>
      <c r="H10" s="42">
        <f t="shared" si="1"/>
        <v>7130</v>
      </c>
      <c r="I10" s="42">
        <f t="shared" si="1"/>
        <v>7425</v>
      </c>
      <c r="J10" s="42">
        <f t="shared" si="1"/>
        <v>7600</v>
      </c>
      <c r="K10" s="42">
        <f t="shared" si="1"/>
        <v>7630</v>
      </c>
      <c r="L10" s="42">
        <f t="shared" si="1"/>
        <v>7900</v>
      </c>
      <c r="M10" s="42">
        <f t="shared" si="1"/>
        <v>8105</v>
      </c>
      <c r="N10" s="42">
        <f t="shared" si="1"/>
        <v>0</v>
      </c>
    </row>
    <row r="11" spans="2:14" ht="15" customHeight="1" x14ac:dyDescent="0.3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2:14" ht="15" customHeight="1" x14ac:dyDescent="0.35">
      <c r="B12" s="35" t="s">
        <v>90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  <row r="13" spans="2:14" ht="15.75" customHeight="1" x14ac:dyDescent="0.35">
      <c r="B13" s="37" t="s">
        <v>91</v>
      </c>
      <c r="C13" s="43" cm="1">
        <f t="array" ref="C13">'P&amp;L'!C15</f>
        <v>-1</v>
      </c>
      <c r="D13" s="43" cm="1">
        <f t="array" ref="D13">'P&amp;L'!D15</f>
        <v>-1</v>
      </c>
      <c r="E13" s="43" cm="1">
        <f t="array" ref="E13">'P&amp;L'!E15</f>
        <v>-1</v>
      </c>
      <c r="F13" s="43" cm="1">
        <f t="array" ref="F13">'P&amp;L'!F15</f>
        <v>-1</v>
      </c>
      <c r="G13" s="43" cm="1">
        <f t="array" ref="G13">'P&amp;L'!G15</f>
        <v>-1</v>
      </c>
      <c r="H13" s="43" cm="1">
        <f t="array" ref="H13">'P&amp;L'!H15</f>
        <v>-1</v>
      </c>
      <c r="I13" s="43" cm="1">
        <f t="array" ref="I13">'P&amp;L'!I15</f>
        <v>-1</v>
      </c>
      <c r="J13" s="43" cm="1">
        <f t="array" ref="J13">'P&amp;L'!J15</f>
        <v>-1</v>
      </c>
      <c r="K13" s="43" cm="1">
        <f t="array" ref="K13">'P&amp;L'!K15</f>
        <v>-1</v>
      </c>
      <c r="L13" s="43" cm="1">
        <f t="array" ref="L13">'P&amp;L'!L15</f>
        <v>-1</v>
      </c>
      <c r="M13" s="43" cm="1">
        <f t="array" ref="M13">'P&amp;L'!M15</f>
        <v>-1</v>
      </c>
      <c r="N13" s="44" cm="1">
        <f t="array" ref="N13">'P&amp;L'!N15</f>
        <v>-1</v>
      </c>
    </row>
    <row r="14" spans="2:14" ht="15.75" customHeight="1" x14ac:dyDescent="0.35">
      <c r="B14" s="37" t="s">
        <v>18</v>
      </c>
      <c r="C14" s="43" cm="1">
        <f t="array" ref="C14">'P&amp;L'!C29</f>
        <v>44</v>
      </c>
      <c r="D14" s="43" cm="1">
        <f t="array" ref="D14">'P&amp;L'!D29</f>
        <v>49</v>
      </c>
      <c r="E14" s="43" cm="1">
        <f t="array" ref="E14">'P&amp;L'!E29</f>
        <v>39</v>
      </c>
      <c r="F14" s="43" cm="1">
        <f t="array" ref="F14">'P&amp;L'!F29</f>
        <v>87</v>
      </c>
      <c r="G14" s="43" cm="1">
        <f t="array" ref="G14">'P&amp;L'!G29</f>
        <v>107</v>
      </c>
      <c r="H14" s="43" cm="1">
        <f t="array" ref="H14">'P&amp;L'!H29</f>
        <v>127</v>
      </c>
      <c r="I14" s="43" cm="1">
        <f t="array" ref="I14">'P&amp;L'!I29</f>
        <v>110</v>
      </c>
      <c r="J14" s="43" cm="1">
        <f t="array" ref="J14">'P&amp;L'!J29</f>
        <v>95</v>
      </c>
      <c r="K14" s="43" cm="1">
        <f t="array" ref="K14">'P&amp;L'!K29</f>
        <v>75</v>
      </c>
      <c r="L14" s="43" cm="1">
        <f t="array" ref="L14">'P&amp;L'!L29</f>
        <v>62</v>
      </c>
      <c r="M14" s="43" cm="1">
        <f t="array" ref="M14">'P&amp;L'!M29</f>
        <v>47</v>
      </c>
      <c r="N14" s="44" cm="1">
        <f t="array" ref="N14">'P&amp;L'!N29</f>
        <v>-1</v>
      </c>
    </row>
    <row r="15" spans="2:14" ht="15.75" customHeight="1" x14ac:dyDescent="0.35">
      <c r="B15" s="37" t="s">
        <v>92</v>
      </c>
      <c r="C15" s="41">
        <v>5300</v>
      </c>
      <c r="D15" s="41">
        <v>5400</v>
      </c>
      <c r="E15" s="41">
        <v>5450</v>
      </c>
      <c r="F15" s="41">
        <v>5550</v>
      </c>
      <c r="G15" s="41">
        <v>5650</v>
      </c>
      <c r="H15" s="41">
        <v>5700</v>
      </c>
      <c r="I15" s="41">
        <v>5850</v>
      </c>
      <c r="J15" s="41">
        <v>5950</v>
      </c>
      <c r="K15" s="41">
        <v>6000</v>
      </c>
      <c r="L15" s="41">
        <v>6150</v>
      </c>
      <c r="M15" s="41">
        <v>6250</v>
      </c>
      <c r="N15" s="39"/>
    </row>
    <row r="16" spans="2:14" ht="15.75" customHeight="1" x14ac:dyDescent="0.35">
      <c r="B16" s="37" t="s">
        <v>2</v>
      </c>
      <c r="C16" s="43" cm="1">
        <f t="array" ref="C16">'P&amp;L'!C5</f>
        <v>1</v>
      </c>
      <c r="D16" s="43" cm="1">
        <f t="array" ref="D16">'P&amp;L'!D5</f>
        <v>1</v>
      </c>
      <c r="E16" s="43" cm="1">
        <f t="array" ref="E16">'P&amp;L'!E5</f>
        <v>1</v>
      </c>
      <c r="F16" s="43" cm="1">
        <f t="array" ref="F16">'P&amp;L'!F5</f>
        <v>1</v>
      </c>
      <c r="G16" s="43" cm="1">
        <f t="array" ref="G16">'P&amp;L'!G5</f>
        <v>1</v>
      </c>
      <c r="H16" s="43" cm="1">
        <f t="array" ref="H16">'P&amp;L'!H5</f>
        <v>1</v>
      </c>
      <c r="I16" s="43" cm="1">
        <f t="array" ref="I16">'P&amp;L'!I5</f>
        <v>1</v>
      </c>
      <c r="J16" s="43" cm="1">
        <f t="array" ref="J16">'P&amp;L'!J5</f>
        <v>1</v>
      </c>
      <c r="K16" s="43" cm="1">
        <f t="array" ref="K16">'P&amp;L'!K5</f>
        <v>1</v>
      </c>
      <c r="L16" s="43" cm="1">
        <f t="array" ref="L16">'P&amp;L'!L5</f>
        <v>1</v>
      </c>
      <c r="M16" s="43" cm="1">
        <f t="array" ref="M16">'P&amp;L'!M5</f>
        <v>1</v>
      </c>
      <c r="N16" s="44" cm="1">
        <f t="array" ref="N16">'P&amp;L'!N5</f>
        <v>1</v>
      </c>
    </row>
    <row r="17" spans="2:14" ht="15" customHeight="1" x14ac:dyDescent="0.35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</row>
    <row r="18" spans="2:14" ht="15" customHeight="1" x14ac:dyDescent="0.35">
      <c r="B18" s="35" t="s">
        <v>93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</row>
    <row r="19" spans="2:14" ht="15.75" customHeight="1" x14ac:dyDescent="0.35">
      <c r="B19" s="37" t="s">
        <v>94</v>
      </c>
      <c r="C19" s="45">
        <f t="shared" ref="C19:N19" si="2">IF(C14=0,"",C6/C14)</f>
        <v>69.318181818181813</v>
      </c>
      <c r="D19" s="45">
        <f t="shared" si="2"/>
        <v>61.224489795918366</v>
      </c>
      <c r="E19" s="45">
        <f t="shared" si="2"/>
        <v>76.92307692307692</v>
      </c>
      <c r="F19" s="45">
        <f t="shared" si="2"/>
        <v>33.620689655172413</v>
      </c>
      <c r="G19" s="45">
        <f t="shared" si="2"/>
        <v>26.635514018691588</v>
      </c>
      <c r="H19" s="45">
        <f t="shared" si="2"/>
        <v>22.440944881889763</v>
      </c>
      <c r="I19" s="45">
        <f t="shared" si="2"/>
        <v>25.227272727272727</v>
      </c>
      <c r="J19" s="45">
        <f t="shared" si="2"/>
        <v>28.94736842105263</v>
      </c>
      <c r="K19" s="45">
        <f t="shared" si="2"/>
        <v>36.666666666666664</v>
      </c>
      <c r="L19" s="45">
        <f t="shared" si="2"/>
        <v>43.548387096774192</v>
      </c>
      <c r="M19" s="45">
        <f t="shared" si="2"/>
        <v>56.914893617021278</v>
      </c>
      <c r="N19" s="45">
        <f t="shared" si="2"/>
        <v>0</v>
      </c>
    </row>
    <row r="20" spans="2:14" ht="15.75" customHeight="1" x14ac:dyDescent="0.35">
      <c r="B20" s="37" t="s">
        <v>95</v>
      </c>
      <c r="C20" s="45">
        <f t="shared" ref="C20:N20" si="3">IF(C14=0,"",C8/C14)</f>
        <v>50</v>
      </c>
      <c r="D20" s="45">
        <f t="shared" si="3"/>
        <v>42.448979591836732</v>
      </c>
      <c r="E20" s="45">
        <f t="shared" si="3"/>
        <v>54.358974358974358</v>
      </c>
      <c r="F20" s="45">
        <f t="shared" si="3"/>
        <v>22.701149425287355</v>
      </c>
      <c r="G20" s="45">
        <f t="shared" si="3"/>
        <v>17.102803738317757</v>
      </c>
      <c r="H20" s="45">
        <f t="shared" si="3"/>
        <v>14.724409448818898</v>
      </c>
      <c r="I20" s="45">
        <f t="shared" si="3"/>
        <v>15.227272727272727</v>
      </c>
      <c r="J20" s="45">
        <f t="shared" si="3"/>
        <v>16.842105263157894</v>
      </c>
      <c r="K20" s="45">
        <f t="shared" si="3"/>
        <v>22.266666666666666</v>
      </c>
      <c r="L20" s="45">
        <f t="shared" si="3"/>
        <v>24.193548387096776</v>
      </c>
      <c r="M20" s="45">
        <f t="shared" si="3"/>
        <v>29.680851063829788</v>
      </c>
      <c r="N20" s="45">
        <f t="shared" si="3"/>
        <v>0</v>
      </c>
    </row>
    <row r="21" spans="2:14" ht="15.75" customHeight="1" x14ac:dyDescent="0.35">
      <c r="B21" s="37" t="s">
        <v>96</v>
      </c>
      <c r="C21" s="46">
        <v>2.8</v>
      </c>
      <c r="D21" s="46">
        <v>2.7</v>
      </c>
      <c r="E21" s="46">
        <v>2.6</v>
      </c>
      <c r="F21" s="46">
        <v>2.5</v>
      </c>
      <c r="G21" s="46">
        <v>2.4</v>
      </c>
      <c r="H21" s="46">
        <v>2.2999999999999998</v>
      </c>
      <c r="I21" s="46">
        <v>2.2000000000000002</v>
      </c>
      <c r="J21" s="46">
        <v>2.1</v>
      </c>
      <c r="K21" s="46">
        <v>2</v>
      </c>
      <c r="L21" s="46">
        <v>1.9</v>
      </c>
      <c r="M21" s="46">
        <v>1.8</v>
      </c>
      <c r="N21" s="39"/>
    </row>
    <row r="22" spans="2:14" ht="15.75" customHeight="1" x14ac:dyDescent="0.35">
      <c r="B22" s="37" t="s">
        <v>97</v>
      </c>
      <c r="C22" s="46">
        <v>2.2000000000000002</v>
      </c>
      <c r="D22" s="46">
        <v>2.1</v>
      </c>
      <c r="E22" s="46">
        <v>2</v>
      </c>
      <c r="F22" s="46">
        <v>1.9</v>
      </c>
      <c r="G22" s="46">
        <v>1.8</v>
      </c>
      <c r="H22" s="46">
        <v>1.7</v>
      </c>
      <c r="I22" s="46">
        <v>1.6</v>
      </c>
      <c r="J22" s="46">
        <v>1.5</v>
      </c>
      <c r="K22" s="46">
        <v>1.4</v>
      </c>
      <c r="L22" s="46">
        <v>1.3</v>
      </c>
      <c r="M22" s="46">
        <v>1.2</v>
      </c>
      <c r="N22" s="39"/>
    </row>
    <row r="23" spans="2:14" ht="15.75" customHeight="1" x14ac:dyDescent="0.35">
      <c r="B23" s="37" t="s">
        <v>98</v>
      </c>
      <c r="C23" s="46">
        <v>2.5</v>
      </c>
      <c r="D23" s="46">
        <v>2.4</v>
      </c>
      <c r="E23" s="46">
        <v>2.2999999999999998</v>
      </c>
      <c r="F23" s="46">
        <v>2.2000000000000002</v>
      </c>
      <c r="G23" s="46">
        <v>2.1</v>
      </c>
      <c r="H23" s="46">
        <v>2</v>
      </c>
      <c r="I23" s="46">
        <v>1.9</v>
      </c>
      <c r="J23" s="46">
        <v>1.8</v>
      </c>
      <c r="K23" s="46">
        <v>1.7</v>
      </c>
      <c r="L23" s="46">
        <v>1.6</v>
      </c>
      <c r="M23" s="46">
        <v>1.5</v>
      </c>
      <c r="N23" s="39"/>
    </row>
    <row r="24" spans="2:14" ht="15" customHeight="1" x14ac:dyDescent="0.35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</row>
    <row r="25" spans="2:14" ht="15" customHeight="1" x14ac:dyDescent="0.35">
      <c r="B25" s="35" t="s">
        <v>99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</row>
    <row r="26" spans="2:14" ht="15.75" customHeight="1" x14ac:dyDescent="0.35">
      <c r="B26" s="37" t="s">
        <v>100</v>
      </c>
      <c r="C26" s="43">
        <f>'Debt-Overview'!C25*'Debt-Overview'!C33/12</f>
        <v>16.614969135802468</v>
      </c>
      <c r="D26" s="43">
        <f>'Debt-Overview'!D25*'Debt-Overview'!D33/12</f>
        <v>16.343867924528301</v>
      </c>
      <c r="E26" s="43">
        <f>'Debt-Overview'!E25*'Debt-Overview'!E33/12</f>
        <v>16.344811320754715</v>
      </c>
      <c r="F26" s="43">
        <f>'Debt-Overview'!F25*'Debt-Overview'!F33/12</f>
        <v>15.938410194174759</v>
      </c>
      <c r="G26" s="43">
        <f>'Debt-Overview'!G25*'Debt-Overview'!G33/12</f>
        <v>15.531089108910891</v>
      </c>
      <c r="H26" s="43">
        <f>'Debt-Overview'!H25*'Debt-Overview'!H33/12</f>
        <v>15.532029702970297</v>
      </c>
      <c r="I26" s="43">
        <f>'Debt-Overview'!I25*'Debt-Overview'!I33/12</f>
        <v>15.125637755102039</v>
      </c>
      <c r="J26" s="43">
        <f>'Debt-Overview'!J25*'Debt-Overview'!J33/12</f>
        <v>14.989862542955329</v>
      </c>
      <c r="K26" s="43">
        <f>'Debt-Overview'!K25*'Debt-Overview'!K33/12</f>
        <v>14.990807560137455</v>
      </c>
      <c r="L26" s="43">
        <f>'Debt-Overview'!L25*'Debt-Overview'!L33/12</f>
        <v>14.719736842105263</v>
      </c>
      <c r="M26" s="43">
        <f>'Debt-Overview'!M25*'Debt-Overview'!M33/12</f>
        <v>14.58396719858156</v>
      </c>
      <c r="N26" s="44">
        <f>'Debt-Overview'!N25*'Debt-Overview'!N33/12</f>
        <v>0</v>
      </c>
    </row>
    <row r="27" spans="2:14" ht="15.75" customHeight="1" x14ac:dyDescent="0.35">
      <c r="B27" s="37" t="s">
        <v>101</v>
      </c>
      <c r="C27" s="47">
        <v>100</v>
      </c>
      <c r="D27" s="47">
        <v>100</v>
      </c>
      <c r="E27" s="47">
        <v>100</v>
      </c>
      <c r="F27" s="47">
        <v>100</v>
      </c>
      <c r="G27" s="47">
        <v>100</v>
      </c>
      <c r="H27" s="47">
        <v>100</v>
      </c>
      <c r="I27" s="47">
        <v>100</v>
      </c>
      <c r="J27" s="47">
        <v>100</v>
      </c>
      <c r="K27" s="47">
        <v>100</v>
      </c>
      <c r="L27" s="47">
        <v>100</v>
      </c>
      <c r="M27" s="47">
        <v>100</v>
      </c>
      <c r="N27" s="39"/>
    </row>
    <row r="28" spans="2:14" ht="15.75" customHeight="1" x14ac:dyDescent="0.35">
      <c r="B28" s="37" t="s">
        <v>102</v>
      </c>
      <c r="C28" s="42">
        <f t="shared" ref="C28:N28" si="4">C26+C27</f>
        <v>116.61496913580247</v>
      </c>
      <c r="D28" s="42">
        <f t="shared" si="4"/>
        <v>116.3438679245283</v>
      </c>
      <c r="E28" s="42">
        <f t="shared" si="4"/>
        <v>116.34481132075472</v>
      </c>
      <c r="F28" s="42">
        <f t="shared" si="4"/>
        <v>115.93841019417476</v>
      </c>
      <c r="G28" s="42">
        <f t="shared" si="4"/>
        <v>115.53108910891089</v>
      </c>
      <c r="H28" s="42">
        <f t="shared" si="4"/>
        <v>115.53202970297029</v>
      </c>
      <c r="I28" s="42">
        <f t="shared" si="4"/>
        <v>115.12563775510203</v>
      </c>
      <c r="J28" s="42">
        <f t="shared" si="4"/>
        <v>114.98986254295534</v>
      </c>
      <c r="K28" s="42">
        <f t="shared" si="4"/>
        <v>114.99080756013745</v>
      </c>
      <c r="L28" s="42">
        <f t="shared" si="4"/>
        <v>114.71973684210526</v>
      </c>
      <c r="M28" s="42">
        <f t="shared" si="4"/>
        <v>114.58396719858156</v>
      </c>
      <c r="N28" s="42">
        <f t="shared" si="4"/>
        <v>0</v>
      </c>
    </row>
    <row r="29" spans="2:14" ht="15.75" customHeight="1" x14ac:dyDescent="0.35">
      <c r="B29" s="37" t="s">
        <v>103</v>
      </c>
      <c r="C29" s="45">
        <f t="shared" ref="C29:N29" si="5">IF(C26=0,"",C14/C26)</f>
        <v>2.6482143686434778</v>
      </c>
      <c r="D29" s="45">
        <f t="shared" si="5"/>
        <v>2.9980663222603829</v>
      </c>
      <c r="E29" s="45">
        <f t="shared" si="5"/>
        <v>2.3860783238578978</v>
      </c>
      <c r="F29" s="45">
        <f t="shared" si="5"/>
        <v>5.4585117925875162</v>
      </c>
      <c r="G29" s="45">
        <f t="shared" si="5"/>
        <v>6.8894073847409221</v>
      </c>
      <c r="H29" s="45">
        <f t="shared" si="5"/>
        <v>8.1766518883049084</v>
      </c>
      <c r="I29" s="45">
        <f t="shared" si="5"/>
        <v>7.2724206265547933</v>
      </c>
      <c r="J29" s="45">
        <f t="shared" si="5"/>
        <v>6.3376164876606174</v>
      </c>
      <c r="K29" s="45">
        <f t="shared" si="5"/>
        <v>5.0030660255712274</v>
      </c>
      <c r="L29" s="45">
        <f t="shared" si="5"/>
        <v>4.2120318226512916</v>
      </c>
      <c r="M29" s="45">
        <f t="shared" si="5"/>
        <v>3.22271706731288</v>
      </c>
      <c r="N29" s="45" t="str">
        <f t="shared" si="5"/>
        <v/>
      </c>
    </row>
    <row r="30" spans="2:14" ht="15.75" customHeight="1" x14ac:dyDescent="0.35">
      <c r="B30" s="37" t="s">
        <v>104</v>
      </c>
      <c r="C30" s="45">
        <f t="shared" ref="C30:N30" si="6">IF(C28=0,"",(C14-C35)/C28)</f>
        <v>-5.1451370647045983E-2</v>
      </c>
      <c r="D30" s="45">
        <f t="shared" si="6"/>
        <v>-5.1571261184922709E-2</v>
      </c>
      <c r="E30" s="45">
        <f t="shared" si="6"/>
        <v>-5.1570843013002181E-2</v>
      </c>
      <c r="F30" s="45">
        <f t="shared" si="6"/>
        <v>0.23288226873889456</v>
      </c>
      <c r="G30" s="45">
        <f t="shared" si="6"/>
        <v>0.36353851005772736</v>
      </c>
      <c r="H30" s="45">
        <f t="shared" si="6"/>
        <v>0.66648184229053109</v>
      </c>
      <c r="I30" s="45">
        <f t="shared" si="6"/>
        <v>0.34744650088357332</v>
      </c>
      <c r="J30" s="45">
        <f t="shared" si="6"/>
        <v>0.17392837557770668</v>
      </c>
      <c r="K30" s="45">
        <f t="shared" si="6"/>
        <v>0.17392694619994278</v>
      </c>
      <c r="L30" s="45">
        <f t="shared" si="6"/>
        <v>-0.15690412561505729</v>
      </c>
      <c r="M30" s="45">
        <f t="shared" si="6"/>
        <v>-0.33163452906237306</v>
      </c>
      <c r="N30" s="45" t="str">
        <f t="shared" si="6"/>
        <v/>
      </c>
    </row>
    <row r="31" spans="2:14" ht="15.75" customHeight="1" x14ac:dyDescent="0.35">
      <c r="B31" s="37" t="s">
        <v>105</v>
      </c>
      <c r="C31" s="48">
        <f t="shared" ref="C31:N31" si="7">IF(C14=0,"",C26/C14)</f>
        <v>0.37761293490460157</v>
      </c>
      <c r="D31" s="48">
        <f t="shared" si="7"/>
        <v>0.33354832499037346</v>
      </c>
      <c r="E31" s="48">
        <f t="shared" si="7"/>
        <v>0.41909772617319785</v>
      </c>
      <c r="F31" s="48">
        <f t="shared" si="7"/>
        <v>0.18320011717442253</v>
      </c>
      <c r="G31" s="48">
        <f t="shared" si="7"/>
        <v>0.14515036550384011</v>
      </c>
      <c r="H31" s="48">
        <f t="shared" si="7"/>
        <v>0.12229944648008108</v>
      </c>
      <c r="I31" s="48">
        <f t="shared" si="7"/>
        <v>0.1375057977736549</v>
      </c>
      <c r="J31" s="48">
        <f t="shared" si="7"/>
        <v>0.15778802676795084</v>
      </c>
      <c r="K31" s="48">
        <f t="shared" si="7"/>
        <v>0.19987743413516607</v>
      </c>
      <c r="L31" s="48">
        <f t="shared" si="7"/>
        <v>0.23741511035653651</v>
      </c>
      <c r="M31" s="48">
        <f t="shared" si="7"/>
        <v>0.3102971744379055</v>
      </c>
      <c r="N31" s="48">
        <f t="shared" si="7"/>
        <v>0</v>
      </c>
    </row>
    <row r="32" spans="2:14" ht="15" customHeight="1" x14ac:dyDescent="0.35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</row>
    <row r="33" spans="2:14" ht="15" customHeight="1" x14ac:dyDescent="0.35">
      <c r="B33" s="35" t="s">
        <v>106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</row>
    <row r="34" spans="2:14" ht="15.75" customHeight="1" x14ac:dyDescent="0.35">
      <c r="B34" s="37" t="s">
        <v>107</v>
      </c>
      <c r="C34" s="43" cm="1">
        <f t="array" ref="C34">'Cash-Flow'!C12</f>
        <v>301</v>
      </c>
      <c r="D34" s="43" cm="1">
        <f t="array" ref="D34">'Cash-Flow'!D12</f>
        <v>311</v>
      </c>
      <c r="E34" s="43" cm="1">
        <f t="array" ref="E34">'Cash-Flow'!E12</f>
        <v>338</v>
      </c>
      <c r="F34" s="43" cm="1">
        <f t="array" ref="F34">'Cash-Flow'!F12</f>
        <v>304</v>
      </c>
      <c r="G34" s="43" cm="1">
        <f t="array" ref="G34">'Cash-Flow'!G12</f>
        <v>337</v>
      </c>
      <c r="H34" s="43" cm="1">
        <f t="array" ref="H34">'Cash-Flow'!H12</f>
        <v>369</v>
      </c>
      <c r="I34" s="43" cm="1">
        <f t="array" ref="I34">'Cash-Flow'!I12</f>
        <v>331</v>
      </c>
      <c r="J34" s="43" cm="1">
        <f t="array" ref="J34">'Cash-Flow'!J12</f>
        <v>362</v>
      </c>
      <c r="K34" s="43" cm="1">
        <f t="array" ref="K34">'Cash-Flow'!K12</f>
        <v>414</v>
      </c>
      <c r="L34" s="43" cm="1">
        <f t="array" ref="L34">'Cash-Flow'!L12</f>
        <v>345</v>
      </c>
      <c r="M34" s="43" cm="1">
        <f t="array" ref="M34">'Cash-Flow'!M12</f>
        <v>374</v>
      </c>
      <c r="N34" s="44" cm="1">
        <f t="array" ref="N34">'Cash-Flow'!N12</f>
        <v>0</v>
      </c>
    </row>
    <row r="35" spans="2:14" ht="15.75" customHeight="1" x14ac:dyDescent="0.35">
      <c r="B35" s="37" t="s">
        <v>54</v>
      </c>
      <c r="C35" s="43">
        <f>ABS('Cash-Flow'!C16)</f>
        <v>50</v>
      </c>
      <c r="D35" s="43">
        <f>ABS('Cash-Flow'!D16)</f>
        <v>55</v>
      </c>
      <c r="E35" s="43">
        <f>ABS('Cash-Flow'!E16)</f>
        <v>45</v>
      </c>
      <c r="F35" s="43">
        <f>ABS('Cash-Flow'!F16)</f>
        <v>60</v>
      </c>
      <c r="G35" s="43">
        <f>ABS('Cash-Flow'!G16)</f>
        <v>65</v>
      </c>
      <c r="H35" s="43">
        <f>ABS('Cash-Flow'!H16)</f>
        <v>50</v>
      </c>
      <c r="I35" s="43">
        <f>ABS('Cash-Flow'!I16)</f>
        <v>70</v>
      </c>
      <c r="J35" s="43">
        <f>ABS('Cash-Flow'!J16)</f>
        <v>75</v>
      </c>
      <c r="K35" s="43">
        <f>ABS('Cash-Flow'!K16)</f>
        <v>55</v>
      </c>
      <c r="L35" s="43">
        <f>ABS('Cash-Flow'!L16)</f>
        <v>80</v>
      </c>
      <c r="M35" s="43">
        <f>ABS('Cash-Flow'!M16)</f>
        <v>85</v>
      </c>
      <c r="N35" s="44">
        <f>ABS('Cash-Flow'!N16)</f>
        <v>0</v>
      </c>
    </row>
    <row r="36" spans="2:14" ht="15.75" customHeight="1" x14ac:dyDescent="0.35">
      <c r="B36" s="37" t="s">
        <v>108</v>
      </c>
      <c r="C36" s="42">
        <f t="shared" si="0"/>
        <v>251</v>
      </c>
      <c r="D36" s="42">
        <f t="shared" si="0"/>
        <v>256</v>
      </c>
      <c r="E36" s="42">
        <f t="shared" si="0"/>
        <v>293</v>
      </c>
      <c r="F36" s="42">
        <f t="shared" si="0"/>
        <v>244</v>
      </c>
      <c r="G36" s="42">
        <f t="shared" si="0"/>
        <v>272</v>
      </c>
      <c r="H36" s="42">
        <f t="shared" si="0"/>
        <v>319</v>
      </c>
      <c r="I36" s="42">
        <f t="shared" si="0"/>
        <v>261</v>
      </c>
      <c r="J36" s="42">
        <f t="shared" si="0"/>
        <v>287</v>
      </c>
      <c r="K36" s="42">
        <f t="shared" si="0"/>
        <v>359</v>
      </c>
      <c r="L36" s="42">
        <f t="shared" si="0"/>
        <v>265</v>
      </c>
      <c r="M36" s="42">
        <f t="shared" si="0"/>
        <v>289</v>
      </c>
      <c r="N36" s="42">
        <f t="shared" si="0"/>
        <v>0</v>
      </c>
    </row>
    <row r="37" spans="2:14" ht="15.75" customHeight="1" x14ac:dyDescent="0.35">
      <c r="B37" s="37" t="s">
        <v>109</v>
      </c>
      <c r="C37" s="48">
        <f t="shared" ref="C37:N37" si="8">IF(C28=0,"",C36/C28)</f>
        <v>2.1523823387347569</v>
      </c>
      <c r="D37" s="48">
        <f t="shared" si="8"/>
        <v>2.2003738105567021</v>
      </c>
      <c r="E37" s="48">
        <f t="shared" si="8"/>
        <v>2.5183761671349396</v>
      </c>
      <c r="F37" s="48">
        <f t="shared" si="8"/>
        <v>2.1045656878626029</v>
      </c>
      <c r="G37" s="48">
        <f t="shared" si="8"/>
        <v>2.3543446365643299</v>
      </c>
      <c r="H37" s="48">
        <f t="shared" si="8"/>
        <v>2.7611390609179147</v>
      </c>
      <c r="I37" s="48">
        <f t="shared" si="8"/>
        <v>2.2670884182653159</v>
      </c>
      <c r="J37" s="48">
        <f t="shared" si="8"/>
        <v>2.4958721895400906</v>
      </c>
      <c r="K37" s="48">
        <f t="shared" si="8"/>
        <v>3.121988684288973</v>
      </c>
      <c r="L37" s="48">
        <f t="shared" si="8"/>
        <v>2.3099774048883432</v>
      </c>
      <c r="M37" s="48">
        <f t="shared" si="8"/>
        <v>2.5221678657638376</v>
      </c>
      <c r="N37" s="48" t="str">
        <f t="shared" si="8"/>
        <v/>
      </c>
    </row>
    <row r="38" spans="2:14" ht="15.75" customHeight="1" x14ac:dyDescent="0.35">
      <c r="B38" s="37" t="s">
        <v>110</v>
      </c>
      <c r="C38" s="48">
        <f t="shared" ref="C38:N38" si="9">IF(C14=0,"",C36/C14)</f>
        <v>5.7045454545454541</v>
      </c>
      <c r="D38" s="48">
        <f t="shared" si="9"/>
        <v>5.2244897959183669</v>
      </c>
      <c r="E38" s="48">
        <f t="shared" si="9"/>
        <v>7.5128205128205128</v>
      </c>
      <c r="F38" s="48">
        <f t="shared" si="9"/>
        <v>2.8045977011494254</v>
      </c>
      <c r="G38" s="48">
        <f t="shared" si="9"/>
        <v>2.542056074766355</v>
      </c>
      <c r="H38" s="48">
        <f t="shared" si="9"/>
        <v>2.5118110236220472</v>
      </c>
      <c r="I38" s="48">
        <f t="shared" si="9"/>
        <v>2.3727272727272726</v>
      </c>
      <c r="J38" s="48">
        <f t="shared" si="9"/>
        <v>3.0210526315789474</v>
      </c>
      <c r="K38" s="48">
        <f t="shared" si="9"/>
        <v>4.7866666666666671</v>
      </c>
      <c r="L38" s="48">
        <f t="shared" si="9"/>
        <v>4.274193548387097</v>
      </c>
      <c r="M38" s="48">
        <f t="shared" si="9"/>
        <v>6.1489361702127656</v>
      </c>
      <c r="N38" s="48">
        <f t="shared" si="9"/>
        <v>0</v>
      </c>
    </row>
    <row r="39" spans="2:14" ht="15.75" customHeight="1" x14ac:dyDescent="0.35">
      <c r="B39" s="37" t="s">
        <v>111</v>
      </c>
      <c r="C39" s="48">
        <f t="shared" ref="C39:N39" si="10">IF(C6=0,"",C36/C6)</f>
        <v>8.2295081967213121E-2</v>
      </c>
      <c r="D39" s="48">
        <f t="shared" si="10"/>
        <v>8.533333333333333E-2</v>
      </c>
      <c r="E39" s="48">
        <f t="shared" si="10"/>
        <v>9.7666666666666666E-2</v>
      </c>
      <c r="F39" s="48">
        <f t="shared" si="10"/>
        <v>8.3418803418803422E-2</v>
      </c>
      <c r="G39" s="48">
        <f t="shared" si="10"/>
        <v>9.5438596491228073E-2</v>
      </c>
      <c r="H39" s="48">
        <f t="shared" si="10"/>
        <v>0.1119298245614035</v>
      </c>
      <c r="I39" s="48">
        <f t="shared" si="10"/>
        <v>9.4054054054054051E-2</v>
      </c>
      <c r="J39" s="48">
        <f t="shared" si="10"/>
        <v>0.10436363636363637</v>
      </c>
      <c r="K39" s="48">
        <f t="shared" si="10"/>
        <v>0.13054545454545455</v>
      </c>
      <c r="L39" s="48">
        <f t="shared" si="10"/>
        <v>9.8148148148148151E-2</v>
      </c>
      <c r="M39" s="48">
        <f t="shared" si="10"/>
        <v>0.1080373831775701</v>
      </c>
      <c r="N39" s="48" t="str">
        <f t="shared" si="10"/>
        <v/>
      </c>
    </row>
    <row r="40" spans="2:14" ht="15" customHeight="1" x14ac:dyDescent="0.35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2:14" ht="15" customHeight="1" x14ac:dyDescent="0.35">
      <c r="B41" s="35" t="s">
        <v>112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</row>
    <row r="42" spans="2:14" ht="15.75" customHeight="1" x14ac:dyDescent="0.35">
      <c r="B42" s="37" t="s">
        <v>113</v>
      </c>
      <c r="C42" s="45">
        <f t="shared" ref="C42:N42" si="11">IF(C14=0,"",C9/C14)</f>
        <v>193.18181818181819</v>
      </c>
      <c r="D42" s="45">
        <f t="shared" si="11"/>
        <v>175.51020408163265</v>
      </c>
      <c r="E42" s="45">
        <f t="shared" si="11"/>
        <v>223.07692307692307</v>
      </c>
      <c r="F42" s="45">
        <f t="shared" si="11"/>
        <v>101.14942528735632</v>
      </c>
      <c r="G42" s="45">
        <f t="shared" si="11"/>
        <v>83.177570093457945</v>
      </c>
      <c r="H42" s="45">
        <f t="shared" si="11"/>
        <v>70.866141732283467</v>
      </c>
      <c r="I42" s="45">
        <f t="shared" si="11"/>
        <v>82.727272727272734</v>
      </c>
      <c r="J42" s="45">
        <f t="shared" si="11"/>
        <v>96.84210526315789</v>
      </c>
      <c r="K42" s="45">
        <f t="shared" si="11"/>
        <v>124</v>
      </c>
      <c r="L42" s="45">
        <f t="shared" si="11"/>
        <v>151.61290322580646</v>
      </c>
      <c r="M42" s="45">
        <f t="shared" si="11"/>
        <v>202.12765957446808</v>
      </c>
      <c r="N42" s="45">
        <f t="shared" si="11"/>
        <v>0</v>
      </c>
    </row>
    <row r="43" spans="2:14" ht="15.75" customHeight="1" x14ac:dyDescent="0.35">
      <c r="B43" s="37" t="s">
        <v>114</v>
      </c>
      <c r="C43" s="45">
        <f t="shared" ref="C43:N43" si="12">IF(C15=0,"",C9/C15)</f>
        <v>1.6037735849056605</v>
      </c>
      <c r="D43" s="45">
        <f t="shared" si="12"/>
        <v>1.5925925925925926</v>
      </c>
      <c r="E43" s="45">
        <f t="shared" si="12"/>
        <v>1.5963302752293578</v>
      </c>
      <c r="F43" s="45">
        <f t="shared" si="12"/>
        <v>1.5855855855855856</v>
      </c>
      <c r="G43" s="45">
        <f t="shared" si="12"/>
        <v>1.5752212389380531</v>
      </c>
      <c r="H43" s="45">
        <f t="shared" si="12"/>
        <v>1.5789473684210527</v>
      </c>
      <c r="I43" s="45">
        <f t="shared" si="12"/>
        <v>1.5555555555555556</v>
      </c>
      <c r="J43" s="45">
        <f t="shared" si="12"/>
        <v>1.546218487394958</v>
      </c>
      <c r="K43" s="45">
        <f t="shared" si="12"/>
        <v>1.55</v>
      </c>
      <c r="L43" s="45">
        <f t="shared" si="12"/>
        <v>1.5284552845528456</v>
      </c>
      <c r="M43" s="45">
        <f t="shared" si="12"/>
        <v>1.52</v>
      </c>
      <c r="N43" s="45" t="str">
        <f t="shared" si="12"/>
        <v/>
      </c>
    </row>
    <row r="44" spans="2:14" ht="15.75" customHeight="1" x14ac:dyDescent="0.35">
      <c r="B44" s="37" t="s">
        <v>115</v>
      </c>
      <c r="C44" s="45">
        <f t="shared" ref="C44:N44" si="13">IF(C16=0,"",C9/C16)</f>
        <v>8500</v>
      </c>
      <c r="D44" s="45">
        <f t="shared" si="13"/>
        <v>8600</v>
      </c>
      <c r="E44" s="45">
        <f t="shared" si="13"/>
        <v>8700</v>
      </c>
      <c r="F44" s="45">
        <f t="shared" si="13"/>
        <v>8800</v>
      </c>
      <c r="G44" s="45">
        <f t="shared" si="13"/>
        <v>8900</v>
      </c>
      <c r="H44" s="45">
        <f t="shared" si="13"/>
        <v>9000</v>
      </c>
      <c r="I44" s="45">
        <f t="shared" si="13"/>
        <v>9100</v>
      </c>
      <c r="J44" s="45">
        <f t="shared" si="13"/>
        <v>9200</v>
      </c>
      <c r="K44" s="45">
        <f t="shared" si="13"/>
        <v>9300</v>
      </c>
      <c r="L44" s="45">
        <f t="shared" si="13"/>
        <v>9400</v>
      </c>
      <c r="M44" s="45">
        <f t="shared" si="13"/>
        <v>9500</v>
      </c>
      <c r="N44" s="45">
        <f t="shared" si="13"/>
        <v>0</v>
      </c>
    </row>
    <row r="45" spans="2:14" ht="15.75" customHeight="1" x14ac:dyDescent="0.35">
      <c r="B45" s="37" t="s">
        <v>116</v>
      </c>
      <c r="C45" s="45">
        <f t="shared" ref="C45:N45" si="14">IF(C14=0,"",C10/C14)</f>
        <v>143.18181818181819</v>
      </c>
      <c r="D45" s="45">
        <f t="shared" si="14"/>
        <v>133.0612244897959</v>
      </c>
      <c r="E45" s="45">
        <f t="shared" si="14"/>
        <v>168.71794871794873</v>
      </c>
      <c r="F45" s="45">
        <f t="shared" si="14"/>
        <v>78.448275862068968</v>
      </c>
      <c r="G45" s="45">
        <f t="shared" si="14"/>
        <v>66.074766355140184</v>
      </c>
      <c r="H45" s="45">
        <f t="shared" si="14"/>
        <v>56.14173228346457</v>
      </c>
      <c r="I45" s="45">
        <f t="shared" si="14"/>
        <v>67.5</v>
      </c>
      <c r="J45" s="45">
        <f t="shared" si="14"/>
        <v>80</v>
      </c>
      <c r="K45" s="45">
        <f t="shared" si="14"/>
        <v>101.73333333333333</v>
      </c>
      <c r="L45" s="45">
        <f t="shared" si="14"/>
        <v>127.41935483870968</v>
      </c>
      <c r="M45" s="45">
        <f t="shared" si="14"/>
        <v>172.44680851063831</v>
      </c>
      <c r="N45" s="45">
        <f t="shared" si="14"/>
        <v>0</v>
      </c>
    </row>
    <row r="46" spans="2:14" ht="15" customHeight="1" x14ac:dyDescent="0.35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 spans="2:14" ht="15" customHeight="1" x14ac:dyDescent="0.35">
      <c r="B47" s="35" t="s">
        <v>117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</row>
    <row r="48" spans="2:14" ht="15.75" customHeight="1" x14ac:dyDescent="0.35">
      <c r="B48" s="37" t="s">
        <v>118</v>
      </c>
      <c r="C48" s="49">
        <v>5.5</v>
      </c>
      <c r="D48" s="49">
        <v>5.5</v>
      </c>
      <c r="E48" s="49">
        <v>5.5</v>
      </c>
      <c r="F48" s="49">
        <v>5.5</v>
      </c>
      <c r="G48" s="49">
        <v>5.5</v>
      </c>
      <c r="H48" s="49">
        <v>5.5</v>
      </c>
      <c r="I48" s="49">
        <v>5.5</v>
      </c>
      <c r="J48" s="49">
        <v>5.5</v>
      </c>
      <c r="K48" s="49">
        <v>5.5</v>
      </c>
      <c r="L48" s="49">
        <v>5.5</v>
      </c>
      <c r="M48" s="49">
        <v>5.5</v>
      </c>
      <c r="N48" s="39"/>
    </row>
    <row r="49" spans="2:14" ht="15.75" customHeight="1" x14ac:dyDescent="0.35">
      <c r="B49" s="37" t="s">
        <v>119</v>
      </c>
      <c r="C49" s="45">
        <f t="shared" ref="C49:N49" si="15">IF(OR(C48=0,C20=""),"",C48-C20)</f>
        <v>-44.5</v>
      </c>
      <c r="D49" s="45">
        <f t="shared" si="15"/>
        <v>-36.948979591836732</v>
      </c>
      <c r="E49" s="45">
        <f t="shared" si="15"/>
        <v>-48.858974358974358</v>
      </c>
      <c r="F49" s="45">
        <f t="shared" si="15"/>
        <v>-17.201149425287355</v>
      </c>
      <c r="G49" s="45">
        <f t="shared" si="15"/>
        <v>-11.602803738317757</v>
      </c>
      <c r="H49" s="45">
        <f t="shared" si="15"/>
        <v>-9.2244094488188981</v>
      </c>
      <c r="I49" s="45">
        <f t="shared" si="15"/>
        <v>-9.7272727272727266</v>
      </c>
      <c r="J49" s="45">
        <f t="shared" si="15"/>
        <v>-11.342105263157894</v>
      </c>
      <c r="K49" s="45">
        <f t="shared" si="15"/>
        <v>-16.766666666666666</v>
      </c>
      <c r="L49" s="45">
        <f t="shared" si="15"/>
        <v>-18.693548387096776</v>
      </c>
      <c r="M49" s="45">
        <f t="shared" si="15"/>
        <v>-24.180851063829788</v>
      </c>
      <c r="N49" s="45" t="str">
        <f t="shared" si="15"/>
        <v/>
      </c>
    </row>
    <row r="50" spans="2:14" ht="15.75" customHeight="1" x14ac:dyDescent="0.35">
      <c r="B50" s="37" t="s">
        <v>120</v>
      </c>
      <c r="C50" s="48">
        <f t="shared" ref="C50:N50" si="16">IF(OR(C48=0,C20=""),"",C49/C48)</f>
        <v>-8.0909090909090917</v>
      </c>
      <c r="D50" s="48">
        <f t="shared" si="16"/>
        <v>-6.7179962894248604</v>
      </c>
      <c r="E50" s="48">
        <f t="shared" si="16"/>
        <v>-8.8834498834498827</v>
      </c>
      <c r="F50" s="48">
        <f t="shared" si="16"/>
        <v>-3.1274817136886099</v>
      </c>
      <c r="G50" s="48">
        <f t="shared" si="16"/>
        <v>-2.1096006796941378</v>
      </c>
      <c r="H50" s="48">
        <f t="shared" si="16"/>
        <v>-1.6771653543307088</v>
      </c>
      <c r="I50" s="48">
        <f t="shared" si="16"/>
        <v>-1.7685950413223139</v>
      </c>
      <c r="J50" s="48">
        <f t="shared" si="16"/>
        <v>-2.062200956937799</v>
      </c>
      <c r="K50" s="48">
        <f t="shared" si="16"/>
        <v>-3.0484848484848484</v>
      </c>
      <c r="L50" s="48">
        <f t="shared" si="16"/>
        <v>-3.3988269794721409</v>
      </c>
      <c r="M50" s="48">
        <f t="shared" si="16"/>
        <v>-4.3965183752417794</v>
      </c>
      <c r="N50" s="48" t="str">
        <f t="shared" si="16"/>
        <v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FC28-AEB8-2608-E7C8-CF458980CB44}">
  <dimension ref="B2:N33"/>
  <sheetViews>
    <sheetView showGridLines="0" workbookViewId="0">
      <selection activeCell="C6" sqref="C6"/>
    </sheetView>
  </sheetViews>
  <sheetFormatPr defaultColWidth="7.75" defaultRowHeight="15" customHeight="1" x14ac:dyDescent="0.35"/>
  <cols>
    <col min="1" max="1" width="7.75" style="1"/>
    <col min="2" max="2" width="28.75" style="1" customWidth="1"/>
    <col min="3" max="14" width="10.58203125" style="1" customWidth="1"/>
    <col min="15" max="16384" width="7.75" style="1"/>
  </cols>
  <sheetData>
    <row r="2" spans="2:14" ht="18" customHeight="1" x14ac:dyDescent="0.35">
      <c r="B2" s="22" t="s">
        <v>121</v>
      </c>
    </row>
    <row r="3" spans="2:14" ht="15" customHeight="1" x14ac:dyDescent="0.35">
      <c r="B3" s="23" t="s">
        <v>1</v>
      </c>
    </row>
    <row r="4" spans="2:14" ht="15" customHeight="1" x14ac:dyDescent="0.35">
      <c r="B4" s="33"/>
      <c r="C4" s="58">
        <v>45658</v>
      </c>
      <c r="D4" s="58">
        <v>45689</v>
      </c>
      <c r="E4" s="58">
        <v>45717</v>
      </c>
      <c r="F4" s="58">
        <v>45748</v>
      </c>
      <c r="G4" s="58">
        <v>45778</v>
      </c>
      <c r="H4" s="58">
        <v>45809</v>
      </c>
      <c r="I4" s="58">
        <v>45839</v>
      </c>
      <c r="J4" s="58">
        <v>45870</v>
      </c>
      <c r="K4" s="58">
        <v>45901</v>
      </c>
      <c r="L4" s="58">
        <v>45931</v>
      </c>
      <c r="M4" s="58">
        <v>45962</v>
      </c>
      <c r="N4" s="58">
        <v>45992</v>
      </c>
    </row>
    <row r="5" spans="2:14" ht="15" customHeight="1" x14ac:dyDescent="0.35">
      <c r="B5" s="35" t="s">
        <v>122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2:14" ht="15.75" customHeight="1" x14ac:dyDescent="0.35">
      <c r="B6" s="37" t="s">
        <v>123</v>
      </c>
      <c r="C6" s="47">
        <v>500</v>
      </c>
      <c r="D6" s="47">
        <v>500</v>
      </c>
      <c r="E6" s="47">
        <v>500</v>
      </c>
      <c r="F6" s="47">
        <v>500</v>
      </c>
      <c r="G6" s="47">
        <v>500</v>
      </c>
      <c r="H6" s="47">
        <v>500</v>
      </c>
      <c r="I6" s="47">
        <v>500</v>
      </c>
      <c r="J6" s="47">
        <v>500</v>
      </c>
      <c r="K6" s="47">
        <v>500</v>
      </c>
      <c r="L6" s="47">
        <v>500</v>
      </c>
      <c r="M6" s="47">
        <v>500</v>
      </c>
      <c r="N6" s="39"/>
    </row>
    <row r="7" spans="2:14" ht="15.75" customHeight="1" x14ac:dyDescent="0.35">
      <c r="B7" s="37" t="s">
        <v>124</v>
      </c>
      <c r="C7" s="41">
        <v>100</v>
      </c>
      <c r="D7" s="41">
        <v>75</v>
      </c>
      <c r="E7" s="41">
        <v>100</v>
      </c>
      <c r="F7" s="41">
        <v>50</v>
      </c>
      <c r="G7" s="41">
        <v>25</v>
      </c>
      <c r="H7" s="41">
        <v>50</v>
      </c>
      <c r="I7" s="47">
        <v>0</v>
      </c>
      <c r="J7" s="47">
        <v>0</v>
      </c>
      <c r="K7" s="41">
        <v>25</v>
      </c>
      <c r="L7" s="47">
        <v>0</v>
      </c>
      <c r="M7" s="47">
        <v>0</v>
      </c>
      <c r="N7" s="39"/>
    </row>
    <row r="8" spans="2:14" ht="15.75" customHeight="1" x14ac:dyDescent="0.35">
      <c r="B8" s="37" t="s">
        <v>125</v>
      </c>
      <c r="C8" s="42">
        <f t="shared" ref="C8:N28" si="0">C6-C7</f>
        <v>400</v>
      </c>
      <c r="D8" s="42">
        <f t="shared" si="0"/>
        <v>425</v>
      </c>
      <c r="E8" s="42">
        <f t="shared" si="0"/>
        <v>400</v>
      </c>
      <c r="F8" s="42">
        <f t="shared" si="0"/>
        <v>450</v>
      </c>
      <c r="G8" s="42">
        <f t="shared" si="0"/>
        <v>475</v>
      </c>
      <c r="H8" s="42">
        <f t="shared" si="0"/>
        <v>450</v>
      </c>
      <c r="I8" s="42">
        <f t="shared" si="0"/>
        <v>500</v>
      </c>
      <c r="J8" s="42">
        <f t="shared" si="0"/>
        <v>500</v>
      </c>
      <c r="K8" s="42">
        <f t="shared" si="0"/>
        <v>475</v>
      </c>
      <c r="L8" s="42">
        <f t="shared" si="0"/>
        <v>500</v>
      </c>
      <c r="M8" s="42">
        <f t="shared" si="0"/>
        <v>500</v>
      </c>
      <c r="N8" s="39"/>
    </row>
    <row r="9" spans="2:14" ht="15.75" customHeight="1" x14ac:dyDescent="0.35">
      <c r="B9" s="37" t="s">
        <v>126</v>
      </c>
      <c r="C9" s="41">
        <v>800</v>
      </c>
      <c r="D9" s="41">
        <v>792</v>
      </c>
      <c r="E9" s="41">
        <v>783</v>
      </c>
      <c r="F9" s="41">
        <v>775</v>
      </c>
      <c r="G9" s="41">
        <v>767</v>
      </c>
      <c r="H9" s="41">
        <v>758</v>
      </c>
      <c r="I9" s="41">
        <v>750</v>
      </c>
      <c r="J9" s="41">
        <v>742</v>
      </c>
      <c r="K9" s="41">
        <v>733</v>
      </c>
      <c r="L9" s="41">
        <v>725</v>
      </c>
      <c r="M9" s="41">
        <v>717</v>
      </c>
      <c r="N9" s="39"/>
    </row>
    <row r="10" spans="2:14" ht="15.75" customHeight="1" x14ac:dyDescent="0.35">
      <c r="B10" s="37" t="s">
        <v>127</v>
      </c>
      <c r="C10" s="41">
        <v>1800</v>
      </c>
      <c r="D10" s="41">
        <v>1783</v>
      </c>
      <c r="E10" s="41">
        <v>1767</v>
      </c>
      <c r="F10" s="41">
        <v>1750</v>
      </c>
      <c r="G10" s="41">
        <v>1733</v>
      </c>
      <c r="H10" s="41">
        <v>1717</v>
      </c>
      <c r="I10" s="41">
        <v>1700</v>
      </c>
      <c r="J10" s="41">
        <v>1683</v>
      </c>
      <c r="K10" s="41">
        <v>1667</v>
      </c>
      <c r="L10" s="41">
        <v>1650</v>
      </c>
      <c r="M10" s="41">
        <v>1633</v>
      </c>
      <c r="N10" s="39"/>
    </row>
    <row r="11" spans="2:14" ht="15.75" customHeight="1" x14ac:dyDescent="0.35">
      <c r="B11" s="35" t="s">
        <v>128</v>
      </c>
      <c r="C11" s="42">
        <f t="shared" ref="C11:N11" si="1">C7+C9+C10</f>
        <v>2700</v>
      </c>
      <c r="D11" s="42">
        <f t="shared" si="1"/>
        <v>2650</v>
      </c>
      <c r="E11" s="42">
        <f t="shared" si="1"/>
        <v>2650</v>
      </c>
      <c r="F11" s="42">
        <f t="shared" si="1"/>
        <v>2575</v>
      </c>
      <c r="G11" s="42">
        <f t="shared" si="1"/>
        <v>2525</v>
      </c>
      <c r="H11" s="42">
        <f t="shared" si="1"/>
        <v>2525</v>
      </c>
      <c r="I11" s="42">
        <f t="shared" si="1"/>
        <v>2450</v>
      </c>
      <c r="J11" s="42">
        <f t="shared" si="1"/>
        <v>2425</v>
      </c>
      <c r="K11" s="42">
        <f t="shared" si="1"/>
        <v>2425</v>
      </c>
      <c r="L11" s="42">
        <f t="shared" si="1"/>
        <v>2375</v>
      </c>
      <c r="M11" s="42">
        <f t="shared" si="1"/>
        <v>2350</v>
      </c>
      <c r="N11" s="39"/>
    </row>
    <row r="12" spans="2:14" ht="15" customHeight="1" x14ac:dyDescent="0.35">
      <c r="B12" s="37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</row>
    <row r="13" spans="2:14" ht="15" customHeight="1" x14ac:dyDescent="0.35">
      <c r="B13" s="35" t="s">
        <v>129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9"/>
    </row>
    <row r="14" spans="2:14" ht="15.75" customHeight="1" x14ac:dyDescent="0.35">
      <c r="B14" s="37" t="s">
        <v>130</v>
      </c>
      <c r="C14" s="41">
        <v>250</v>
      </c>
      <c r="D14" s="41">
        <v>250</v>
      </c>
      <c r="E14" s="41">
        <v>250</v>
      </c>
      <c r="F14" s="41">
        <v>250</v>
      </c>
      <c r="G14" s="41">
        <v>250</v>
      </c>
      <c r="H14" s="41">
        <v>250</v>
      </c>
      <c r="I14" s="41">
        <v>250</v>
      </c>
      <c r="J14" s="41">
        <v>250</v>
      </c>
      <c r="K14" s="41">
        <v>250</v>
      </c>
      <c r="L14" s="41">
        <v>250</v>
      </c>
      <c r="M14" s="41">
        <v>250</v>
      </c>
      <c r="N14" s="39"/>
    </row>
    <row r="15" spans="2:14" ht="15" customHeight="1" x14ac:dyDescent="0.35">
      <c r="B15" s="37" t="s">
        <v>131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39"/>
    </row>
    <row r="16" spans="2:14" ht="15.75" customHeight="1" x14ac:dyDescent="0.35">
      <c r="B16" s="35" t="s">
        <v>132</v>
      </c>
      <c r="C16" s="42">
        <f t="shared" ref="C16:N16" si="2">C14+C15</f>
        <v>250</v>
      </c>
      <c r="D16" s="42">
        <f t="shared" si="2"/>
        <v>250</v>
      </c>
      <c r="E16" s="42">
        <f t="shared" si="2"/>
        <v>250</v>
      </c>
      <c r="F16" s="42">
        <f t="shared" si="2"/>
        <v>250</v>
      </c>
      <c r="G16" s="42">
        <f t="shared" si="2"/>
        <v>250</v>
      </c>
      <c r="H16" s="42">
        <f t="shared" si="2"/>
        <v>250</v>
      </c>
      <c r="I16" s="42">
        <f t="shared" si="2"/>
        <v>250</v>
      </c>
      <c r="J16" s="42">
        <f t="shared" si="2"/>
        <v>250</v>
      </c>
      <c r="K16" s="42">
        <f t="shared" si="2"/>
        <v>250</v>
      </c>
      <c r="L16" s="42">
        <f t="shared" si="2"/>
        <v>250</v>
      </c>
      <c r="M16" s="42">
        <f t="shared" si="2"/>
        <v>250</v>
      </c>
      <c r="N16" s="39"/>
    </row>
    <row r="17" spans="2:14" ht="15" customHeight="1" x14ac:dyDescent="0.35">
      <c r="B17" s="3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9"/>
    </row>
    <row r="18" spans="2:14" ht="15" customHeight="1" x14ac:dyDescent="0.35">
      <c r="B18" s="35" t="s">
        <v>133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9"/>
    </row>
    <row r="19" spans="2:14" ht="15.75" customHeight="1" x14ac:dyDescent="0.35">
      <c r="B19" s="37" t="s">
        <v>134</v>
      </c>
      <c r="C19" s="41">
        <v>50</v>
      </c>
      <c r="D19" s="41">
        <v>50</v>
      </c>
      <c r="E19" s="41">
        <v>50</v>
      </c>
      <c r="F19" s="41">
        <v>50</v>
      </c>
      <c r="G19" s="41">
        <v>50</v>
      </c>
      <c r="H19" s="41">
        <v>50</v>
      </c>
      <c r="I19" s="41">
        <v>50</v>
      </c>
      <c r="J19" s="41">
        <v>50</v>
      </c>
      <c r="K19" s="41">
        <v>50</v>
      </c>
      <c r="L19" s="41">
        <v>50</v>
      </c>
      <c r="M19" s="41">
        <v>50</v>
      </c>
      <c r="N19" s="39"/>
    </row>
    <row r="20" spans="2:14" ht="15.75" customHeight="1" x14ac:dyDescent="0.35">
      <c r="B20" s="37" t="s">
        <v>135</v>
      </c>
      <c r="C20" s="41">
        <v>50</v>
      </c>
      <c r="D20" s="41">
        <v>50</v>
      </c>
      <c r="E20" s="41">
        <v>50</v>
      </c>
      <c r="F20" s="41">
        <v>50</v>
      </c>
      <c r="G20" s="41">
        <v>25</v>
      </c>
      <c r="H20" s="41">
        <v>25</v>
      </c>
      <c r="I20" s="41">
        <v>25</v>
      </c>
      <c r="J20" s="41">
        <v>25</v>
      </c>
      <c r="K20" s="41">
        <v>25</v>
      </c>
      <c r="L20" s="41">
        <v>25</v>
      </c>
      <c r="M20" s="41">
        <v>25</v>
      </c>
      <c r="N20" s="39"/>
    </row>
    <row r="21" spans="2:14" ht="15" customHeight="1" x14ac:dyDescent="0.35">
      <c r="B21" s="37" t="s">
        <v>136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39"/>
    </row>
    <row r="22" spans="2:14" ht="15.75" customHeight="1" x14ac:dyDescent="0.35">
      <c r="B22" s="35" t="s">
        <v>137</v>
      </c>
      <c r="C22" s="42">
        <f t="shared" ref="C22:N22" si="3">SUM(C19:C21)</f>
        <v>100</v>
      </c>
      <c r="D22" s="42">
        <f t="shared" si="3"/>
        <v>100</v>
      </c>
      <c r="E22" s="42">
        <f t="shared" si="3"/>
        <v>100</v>
      </c>
      <c r="F22" s="42">
        <f t="shared" si="3"/>
        <v>100</v>
      </c>
      <c r="G22" s="42">
        <f t="shared" si="3"/>
        <v>75</v>
      </c>
      <c r="H22" s="42">
        <f t="shared" si="3"/>
        <v>75</v>
      </c>
      <c r="I22" s="42">
        <f t="shared" si="3"/>
        <v>75</v>
      </c>
      <c r="J22" s="42">
        <f t="shared" si="3"/>
        <v>75</v>
      </c>
      <c r="K22" s="42">
        <f t="shared" si="3"/>
        <v>75</v>
      </c>
      <c r="L22" s="42">
        <f t="shared" si="3"/>
        <v>75</v>
      </c>
      <c r="M22" s="42">
        <f t="shared" si="3"/>
        <v>75</v>
      </c>
      <c r="N22" s="39"/>
    </row>
    <row r="23" spans="2:14" ht="15" customHeight="1" x14ac:dyDescent="0.35">
      <c r="B23" s="37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9"/>
    </row>
    <row r="24" spans="2:14" ht="15" customHeight="1" x14ac:dyDescent="0.35">
      <c r="B24" s="35" t="s">
        <v>138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9"/>
    </row>
    <row r="25" spans="2:14" ht="15.75" customHeight="1" x14ac:dyDescent="0.35">
      <c r="B25" s="35" t="s">
        <v>86</v>
      </c>
      <c r="C25" s="42">
        <f t="shared" ref="C25:N25" si="4">C11+C16+C22</f>
        <v>3050</v>
      </c>
      <c r="D25" s="42">
        <f t="shared" si="4"/>
        <v>3000</v>
      </c>
      <c r="E25" s="42">
        <f t="shared" si="4"/>
        <v>3000</v>
      </c>
      <c r="F25" s="42">
        <f t="shared" si="4"/>
        <v>2925</v>
      </c>
      <c r="G25" s="42">
        <f t="shared" si="4"/>
        <v>2850</v>
      </c>
      <c r="H25" s="42">
        <f t="shared" si="4"/>
        <v>2850</v>
      </c>
      <c r="I25" s="42">
        <f t="shared" si="4"/>
        <v>2775</v>
      </c>
      <c r="J25" s="42">
        <f t="shared" si="4"/>
        <v>2750</v>
      </c>
      <c r="K25" s="42">
        <f t="shared" si="4"/>
        <v>2750</v>
      </c>
      <c r="L25" s="42">
        <f t="shared" si="4"/>
        <v>2700</v>
      </c>
      <c r="M25" s="42">
        <f t="shared" si="4"/>
        <v>2675</v>
      </c>
      <c r="N25" s="39"/>
    </row>
    <row r="26" spans="2:14" ht="15.75" customHeight="1" x14ac:dyDescent="0.35">
      <c r="B26" s="37" t="s">
        <v>139</v>
      </c>
      <c r="C26" s="41" cm="1">
        <f t="array" ref="C26">BS!C6</f>
        <v>850</v>
      </c>
      <c r="D26" s="41" cm="1">
        <f t="array" ref="D26">BS!D6</f>
        <v>920</v>
      </c>
      <c r="E26" s="41" cm="1">
        <f t="array" ref="E26">BS!E6</f>
        <v>880</v>
      </c>
      <c r="F26" s="41" cm="1">
        <f t="array" ref="F26">BS!F6</f>
        <v>950</v>
      </c>
      <c r="G26" s="41" cm="1">
        <f t="array" ref="G26">BS!G6</f>
        <v>1020</v>
      </c>
      <c r="H26" s="41" cm="1">
        <f t="array" ref="H26">BS!H6</f>
        <v>980</v>
      </c>
      <c r="I26" s="41" cm="1">
        <f t="array" ref="I26">BS!I6</f>
        <v>1100</v>
      </c>
      <c r="J26" s="41" cm="1">
        <f t="array" ref="J26">BS!J6</f>
        <v>1150</v>
      </c>
      <c r="K26" s="41" cm="1">
        <f t="array" ref="K26">BS!K6</f>
        <v>1080</v>
      </c>
      <c r="L26" s="41" cm="1">
        <f t="array" ref="L26">BS!L6</f>
        <v>1200</v>
      </c>
      <c r="M26" s="41" cm="1">
        <f t="array" ref="M26">BS!M6</f>
        <v>1280</v>
      </c>
      <c r="N26" s="44" cm="1">
        <f t="array" ref="N26">BS!N6</f>
        <v>0</v>
      </c>
    </row>
    <row r="27" spans="2:14" ht="15.75" customHeight="1" x14ac:dyDescent="0.35">
      <c r="B27" s="35" t="s">
        <v>87</v>
      </c>
      <c r="C27" s="42">
        <f t="shared" si="0"/>
        <v>2200</v>
      </c>
      <c r="D27" s="42">
        <f t="shared" si="0"/>
        <v>2080</v>
      </c>
      <c r="E27" s="42">
        <f t="shared" si="0"/>
        <v>2120</v>
      </c>
      <c r="F27" s="42">
        <f t="shared" si="0"/>
        <v>1975</v>
      </c>
      <c r="G27" s="42">
        <f t="shared" si="0"/>
        <v>1830</v>
      </c>
      <c r="H27" s="42">
        <f t="shared" si="0"/>
        <v>1870</v>
      </c>
      <c r="I27" s="42">
        <f t="shared" si="0"/>
        <v>1675</v>
      </c>
      <c r="J27" s="42">
        <f t="shared" si="0"/>
        <v>1600</v>
      </c>
      <c r="K27" s="42">
        <f t="shared" si="0"/>
        <v>1670</v>
      </c>
      <c r="L27" s="42">
        <f t="shared" si="0"/>
        <v>1500</v>
      </c>
      <c r="M27" s="42">
        <f t="shared" si="0"/>
        <v>1395</v>
      </c>
      <c r="N27" s="39"/>
    </row>
    <row r="28" spans="2:14" ht="15" customHeight="1" x14ac:dyDescent="0.35">
      <c r="B28" s="3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9"/>
    </row>
    <row r="29" spans="2:14" ht="15" customHeight="1" x14ac:dyDescent="0.35">
      <c r="B29" s="35" t="s">
        <v>140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</row>
    <row r="30" spans="2:14" ht="15.75" customHeight="1" x14ac:dyDescent="0.35">
      <c r="B30" s="37" t="s">
        <v>141</v>
      </c>
      <c r="C30" s="38">
        <v>6.5000000000000002E-2</v>
      </c>
      <c r="D30" s="38">
        <v>6.5000000000000002E-2</v>
      </c>
      <c r="E30" s="38">
        <v>6.5000000000000002E-2</v>
      </c>
      <c r="F30" s="38">
        <v>6.5000000000000002E-2</v>
      </c>
      <c r="G30" s="38">
        <v>6.5000000000000002E-2</v>
      </c>
      <c r="H30" s="38">
        <v>6.5000000000000002E-2</v>
      </c>
      <c r="I30" s="38">
        <v>6.5000000000000002E-2</v>
      </c>
      <c r="J30" s="38">
        <v>6.5000000000000002E-2</v>
      </c>
      <c r="K30" s="38">
        <v>6.5000000000000002E-2</v>
      </c>
      <c r="L30" s="38">
        <v>6.5000000000000002E-2</v>
      </c>
      <c r="M30" s="38">
        <v>6.5000000000000002E-2</v>
      </c>
      <c r="N30" s="39"/>
    </row>
    <row r="31" spans="2:14" ht="15.75" customHeight="1" x14ac:dyDescent="0.35">
      <c r="B31" s="37" t="s">
        <v>142</v>
      </c>
      <c r="C31" s="38">
        <v>5.5E-2</v>
      </c>
      <c r="D31" s="38">
        <v>5.5E-2</v>
      </c>
      <c r="E31" s="38">
        <v>5.5E-2</v>
      </c>
      <c r="F31" s="38">
        <v>5.5E-2</v>
      </c>
      <c r="G31" s="38">
        <v>5.5E-2</v>
      </c>
      <c r="H31" s="38">
        <v>5.5E-2</v>
      </c>
      <c r="I31" s="38">
        <v>5.5E-2</v>
      </c>
      <c r="J31" s="38">
        <v>5.5E-2</v>
      </c>
      <c r="K31" s="38">
        <v>5.5E-2</v>
      </c>
      <c r="L31" s="38">
        <v>5.5E-2</v>
      </c>
      <c r="M31" s="38">
        <v>5.5E-2</v>
      </c>
      <c r="N31" s="39"/>
    </row>
    <row r="32" spans="2:14" ht="15.75" customHeight="1" x14ac:dyDescent="0.35">
      <c r="B32" s="37" t="s">
        <v>143</v>
      </c>
      <c r="C32" s="38">
        <v>7.0000000000000007E-2</v>
      </c>
      <c r="D32" s="38">
        <v>7.0000000000000007E-2</v>
      </c>
      <c r="E32" s="38">
        <v>7.0000000000000007E-2</v>
      </c>
      <c r="F32" s="38">
        <v>7.0000000000000007E-2</v>
      </c>
      <c r="G32" s="38">
        <v>7.0000000000000007E-2</v>
      </c>
      <c r="H32" s="38">
        <v>7.0000000000000007E-2</v>
      </c>
      <c r="I32" s="38">
        <v>7.0000000000000007E-2</v>
      </c>
      <c r="J32" s="38">
        <v>7.0000000000000007E-2</v>
      </c>
      <c r="K32" s="38">
        <v>7.0000000000000007E-2</v>
      </c>
      <c r="L32" s="38">
        <v>7.0000000000000007E-2</v>
      </c>
      <c r="M32" s="38">
        <v>7.0000000000000007E-2</v>
      </c>
      <c r="N32" s="39"/>
    </row>
    <row r="33" spans="2:14" ht="15.75" customHeight="1" x14ac:dyDescent="0.35">
      <c r="B33" s="37" t="s">
        <v>144</v>
      </c>
      <c r="C33" s="48">
        <f t="shared" ref="C33:N33" si="5">(C7*C30+C9*C31+C10*C32)/C11</f>
        <v>6.537037037037037E-2</v>
      </c>
      <c r="D33" s="48">
        <f t="shared" si="5"/>
        <v>6.5375471698113211E-2</v>
      </c>
      <c r="E33" s="48">
        <f t="shared" si="5"/>
        <v>6.5379245283018861E-2</v>
      </c>
      <c r="F33" s="48">
        <f t="shared" si="5"/>
        <v>6.5388349514563113E-2</v>
      </c>
      <c r="G33" s="48">
        <f t="shared" si="5"/>
        <v>6.5394059405940591E-2</v>
      </c>
      <c r="H33" s="48">
        <f t="shared" si="5"/>
        <v>6.5398019801980192E-2</v>
      </c>
      <c r="I33" s="48">
        <f t="shared" si="5"/>
        <v>6.5408163265306116E-2</v>
      </c>
      <c r="J33" s="48">
        <f t="shared" si="5"/>
        <v>6.5410309278350523E-2</v>
      </c>
      <c r="K33" s="48">
        <f t="shared" si="5"/>
        <v>6.5414432989690713E-2</v>
      </c>
      <c r="L33" s="48">
        <f t="shared" si="5"/>
        <v>6.5421052631578949E-2</v>
      </c>
      <c r="M33" s="48">
        <f t="shared" si="5"/>
        <v>6.5423404255319145E-2</v>
      </c>
      <c r="N33" s="39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63F3-C1BE-4708-3292-1A685F388804}">
  <dimension ref="B2:E35"/>
  <sheetViews>
    <sheetView showGridLines="0" workbookViewId="0">
      <selection sqref="A1:XFD1048576"/>
    </sheetView>
  </sheetViews>
  <sheetFormatPr defaultColWidth="7.75" defaultRowHeight="15" customHeight="1" x14ac:dyDescent="0.35"/>
  <cols>
    <col min="1" max="1" width="7.75" style="1"/>
    <col min="2" max="2" width="15" style="1" customWidth="1"/>
    <col min="3" max="3" width="22.5" style="1" customWidth="1"/>
    <col min="4" max="4" width="47.5" style="1" customWidth="1"/>
    <col min="5" max="5" width="12.5" style="1" customWidth="1"/>
    <col min="6" max="16384" width="7.75" style="1"/>
  </cols>
  <sheetData>
    <row r="2" spans="2:5" ht="18" customHeight="1" x14ac:dyDescent="0.35">
      <c r="B2" s="22" t="s">
        <v>145</v>
      </c>
    </row>
    <row r="4" spans="2:5" ht="15" customHeight="1" x14ac:dyDescent="0.35">
      <c r="B4" s="34" t="s">
        <v>146</v>
      </c>
      <c r="C4" s="34" t="s">
        <v>147</v>
      </c>
      <c r="D4" s="34" t="s">
        <v>10</v>
      </c>
      <c r="E4" s="34" t="s">
        <v>148</v>
      </c>
    </row>
    <row r="5" spans="2:5" ht="15" customHeight="1" x14ac:dyDescent="0.35">
      <c r="B5" s="50" t="s">
        <v>149</v>
      </c>
      <c r="C5" s="37" t="s">
        <v>12</v>
      </c>
      <c r="D5" s="37" t="s">
        <v>150</v>
      </c>
      <c r="E5" s="51" t="s">
        <v>151</v>
      </c>
    </row>
    <row r="6" spans="2:5" ht="15" customHeight="1" x14ac:dyDescent="0.35">
      <c r="B6" s="50" t="s">
        <v>152</v>
      </c>
      <c r="C6" s="37" t="s">
        <v>13</v>
      </c>
      <c r="D6" s="37" t="s">
        <v>153</v>
      </c>
      <c r="E6" s="51" t="s">
        <v>151</v>
      </c>
    </row>
    <row r="7" spans="2:5" ht="15" customHeight="1" x14ac:dyDescent="0.35">
      <c r="B7" s="50" t="s">
        <v>154</v>
      </c>
      <c r="C7" s="37" t="s">
        <v>14</v>
      </c>
      <c r="D7" s="37" t="s">
        <v>155</v>
      </c>
      <c r="E7" s="51" t="s">
        <v>151</v>
      </c>
    </row>
    <row r="8" spans="2:5" ht="15" customHeight="1" x14ac:dyDescent="0.35">
      <c r="B8" s="50" t="s">
        <v>156</v>
      </c>
      <c r="C8" s="37" t="s">
        <v>15</v>
      </c>
      <c r="D8" s="37" t="s">
        <v>157</v>
      </c>
      <c r="E8" s="51" t="s">
        <v>151</v>
      </c>
    </row>
    <row r="9" spans="2:5" ht="15" customHeight="1" x14ac:dyDescent="0.35">
      <c r="B9" s="50" t="s">
        <v>158</v>
      </c>
      <c r="C9" s="37" t="s">
        <v>159</v>
      </c>
      <c r="D9" s="37" t="s">
        <v>160</v>
      </c>
      <c r="E9" s="51" t="s">
        <v>151</v>
      </c>
    </row>
    <row r="10" spans="2:5" ht="15" customHeight="1" x14ac:dyDescent="0.35">
      <c r="B10" s="50" t="s">
        <v>161</v>
      </c>
      <c r="C10" s="37" t="s">
        <v>162</v>
      </c>
      <c r="D10" s="37" t="s">
        <v>163</v>
      </c>
      <c r="E10" s="51" t="s">
        <v>151</v>
      </c>
    </row>
    <row r="11" spans="2:5" ht="15" customHeight="1" x14ac:dyDescent="0.35">
      <c r="B11" s="50" t="s">
        <v>164</v>
      </c>
      <c r="C11" s="37" t="s">
        <v>165</v>
      </c>
      <c r="D11" s="37" t="s">
        <v>166</v>
      </c>
      <c r="E11" s="51" t="s">
        <v>151</v>
      </c>
    </row>
    <row r="12" spans="2:5" ht="15" customHeight="1" x14ac:dyDescent="0.35">
      <c r="B12" s="50" t="s">
        <v>167</v>
      </c>
      <c r="C12" s="37" t="s">
        <v>16</v>
      </c>
      <c r="D12" s="37" t="s">
        <v>168</v>
      </c>
      <c r="E12" s="51" t="s">
        <v>151</v>
      </c>
    </row>
    <row r="13" spans="2:5" ht="15" customHeight="1" x14ac:dyDescent="0.35">
      <c r="B13" s="50" t="s">
        <v>169</v>
      </c>
      <c r="C13" s="37" t="s">
        <v>170</v>
      </c>
      <c r="D13" s="37" t="s">
        <v>171</v>
      </c>
      <c r="E13" s="51" t="s">
        <v>151</v>
      </c>
    </row>
    <row r="14" spans="2:5" ht="15" customHeight="1" x14ac:dyDescent="0.35">
      <c r="B14" s="50" t="s">
        <v>172</v>
      </c>
      <c r="C14" s="37" t="s">
        <v>173</v>
      </c>
      <c r="D14" s="37" t="s">
        <v>174</v>
      </c>
      <c r="E14" s="51" t="s">
        <v>151</v>
      </c>
    </row>
    <row r="15" spans="2:5" ht="15" customHeight="1" x14ac:dyDescent="0.35">
      <c r="B15" s="50" t="s">
        <v>175</v>
      </c>
      <c r="C15" s="37" t="s">
        <v>176</v>
      </c>
      <c r="D15" s="37" t="s">
        <v>177</v>
      </c>
      <c r="E15" s="52" t="s">
        <v>178</v>
      </c>
    </row>
    <row r="16" spans="2:5" ht="15" customHeight="1" x14ac:dyDescent="0.35">
      <c r="B16" s="50" t="s">
        <v>179</v>
      </c>
      <c r="C16" s="37" t="s">
        <v>180</v>
      </c>
      <c r="D16" s="37" t="s">
        <v>181</v>
      </c>
      <c r="E16" s="52" t="s">
        <v>178</v>
      </c>
    </row>
    <row r="17" spans="2:5" ht="15" customHeight="1" x14ac:dyDescent="0.35">
      <c r="B17" s="50" t="s">
        <v>182</v>
      </c>
      <c r="C17" s="37" t="s">
        <v>183</v>
      </c>
      <c r="D17" s="37" t="s">
        <v>184</v>
      </c>
      <c r="E17" s="52" t="s">
        <v>178</v>
      </c>
    </row>
    <row r="18" spans="2:5" ht="15" customHeight="1" x14ac:dyDescent="0.35">
      <c r="B18" s="50" t="s">
        <v>185</v>
      </c>
      <c r="C18" s="37" t="s">
        <v>186</v>
      </c>
      <c r="D18" s="37" t="s">
        <v>187</v>
      </c>
      <c r="E18" s="52" t="s">
        <v>178</v>
      </c>
    </row>
    <row r="19" spans="2:5" ht="15" customHeight="1" x14ac:dyDescent="0.35">
      <c r="B19" s="50" t="s">
        <v>188</v>
      </c>
      <c r="C19" s="37" t="s">
        <v>189</v>
      </c>
      <c r="D19" s="37" t="s">
        <v>190</v>
      </c>
      <c r="E19" s="52" t="s">
        <v>178</v>
      </c>
    </row>
    <row r="20" spans="2:5" ht="15" customHeight="1" x14ac:dyDescent="0.35">
      <c r="B20" s="50" t="s">
        <v>191</v>
      </c>
      <c r="C20" s="37" t="s">
        <v>192</v>
      </c>
      <c r="D20" s="37" t="s">
        <v>193</v>
      </c>
      <c r="E20" s="53" t="s">
        <v>194</v>
      </c>
    </row>
    <row r="21" spans="2:5" ht="15" customHeight="1" x14ac:dyDescent="0.35">
      <c r="B21" s="50" t="s">
        <v>195</v>
      </c>
      <c r="C21" s="37" t="s">
        <v>196</v>
      </c>
      <c r="D21" s="37" t="s">
        <v>197</v>
      </c>
      <c r="E21" s="51" t="s">
        <v>151</v>
      </c>
    </row>
    <row r="22" spans="2:5" ht="15" customHeight="1" x14ac:dyDescent="0.35">
      <c r="B22" s="50" t="s">
        <v>198</v>
      </c>
      <c r="C22" s="37" t="s">
        <v>199</v>
      </c>
      <c r="D22" s="37" t="s">
        <v>200</v>
      </c>
      <c r="E22" s="53" t="s">
        <v>194</v>
      </c>
    </row>
    <row r="23" spans="2:5" ht="15" customHeight="1" x14ac:dyDescent="0.35">
      <c r="B23" s="50" t="s">
        <v>201</v>
      </c>
      <c r="C23" s="37" t="s">
        <v>202</v>
      </c>
      <c r="D23" s="37" t="s">
        <v>203</v>
      </c>
      <c r="E23" s="54" t="s">
        <v>204</v>
      </c>
    </row>
    <row r="24" spans="2:5" ht="15" customHeight="1" x14ac:dyDescent="0.35">
      <c r="B24" s="55" t="s">
        <v>205</v>
      </c>
      <c r="C24" s="37" t="s">
        <v>206</v>
      </c>
      <c r="D24" s="37" t="s">
        <v>207</v>
      </c>
      <c r="E24" s="54" t="s">
        <v>204</v>
      </c>
    </row>
    <row r="25" spans="2:5" ht="15" customHeight="1" x14ac:dyDescent="0.35">
      <c r="B25" s="50" t="s">
        <v>208</v>
      </c>
      <c r="C25" s="37" t="s">
        <v>209</v>
      </c>
      <c r="D25" s="37" t="s">
        <v>210</v>
      </c>
      <c r="E25" s="54" t="s">
        <v>204</v>
      </c>
    </row>
    <row r="26" spans="2:5" ht="15" customHeight="1" x14ac:dyDescent="0.35">
      <c r="B26" s="50" t="s">
        <v>211</v>
      </c>
      <c r="C26" s="37" t="s">
        <v>212</v>
      </c>
      <c r="D26" s="37" t="s">
        <v>213</v>
      </c>
      <c r="E26" s="54" t="s">
        <v>204</v>
      </c>
    </row>
    <row r="28" spans="2:5" ht="15" customHeight="1" x14ac:dyDescent="0.35">
      <c r="B28" s="50" t="s">
        <v>214</v>
      </c>
      <c r="C28" s="37" t="s">
        <v>215</v>
      </c>
      <c r="D28" s="37" t="s">
        <v>216</v>
      </c>
      <c r="E28" s="51" t="s">
        <v>151</v>
      </c>
    </row>
    <row r="29" spans="2:5" ht="15" customHeight="1" x14ac:dyDescent="0.35">
      <c r="B29" s="50" t="s">
        <v>217</v>
      </c>
      <c r="C29" s="37" t="s">
        <v>218</v>
      </c>
      <c r="D29" s="37" t="s">
        <v>219</v>
      </c>
      <c r="E29" s="51" t="s">
        <v>151</v>
      </c>
    </row>
    <row r="30" spans="2:5" ht="15" customHeight="1" x14ac:dyDescent="0.35">
      <c r="B30" s="50" t="s">
        <v>220</v>
      </c>
      <c r="C30" s="37" t="s">
        <v>221</v>
      </c>
      <c r="D30" s="37" t="s">
        <v>222</v>
      </c>
      <c r="E30" s="51" t="s">
        <v>151</v>
      </c>
    </row>
    <row r="31" spans="2:5" ht="15" customHeight="1" x14ac:dyDescent="0.35">
      <c r="B31" s="50" t="s">
        <v>223</v>
      </c>
      <c r="C31" s="37" t="s">
        <v>224</v>
      </c>
      <c r="D31" s="37" t="s">
        <v>225</v>
      </c>
      <c r="E31" s="51" t="s">
        <v>151</v>
      </c>
    </row>
    <row r="32" spans="2:5" ht="15" customHeight="1" x14ac:dyDescent="0.35">
      <c r="B32" s="50" t="s">
        <v>226</v>
      </c>
      <c r="C32" s="37" t="s">
        <v>227</v>
      </c>
      <c r="D32" s="37" t="s">
        <v>228</v>
      </c>
      <c r="E32" s="52" t="s">
        <v>178</v>
      </c>
    </row>
    <row r="33" spans="2:5" ht="15" customHeight="1" x14ac:dyDescent="0.35">
      <c r="B33" s="50" t="s">
        <v>229</v>
      </c>
      <c r="C33" s="37" t="s">
        <v>230</v>
      </c>
      <c r="D33" s="37" t="s">
        <v>231</v>
      </c>
      <c r="E33" s="51" t="s">
        <v>151</v>
      </c>
    </row>
    <row r="35" spans="2:5" ht="13.5" customHeight="1" x14ac:dyDescent="0.35">
      <c r="B35" s="56" t="s">
        <v>232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3D5E-29A8-F0FD-42F4-B541523FB318}">
  <dimension ref="B2:E99"/>
  <sheetViews>
    <sheetView workbookViewId="0">
      <selection activeCell="B3" sqref="B3"/>
    </sheetView>
  </sheetViews>
  <sheetFormatPr defaultColWidth="7.75" defaultRowHeight="15" customHeight="1" x14ac:dyDescent="0.35"/>
  <cols>
    <col min="1" max="1" width="7.75" style="1"/>
    <col min="2" max="2" width="15" style="1" customWidth="1"/>
    <col min="3" max="3" width="25" style="1" customWidth="1"/>
    <col min="4" max="4" width="18.75" style="1" customWidth="1"/>
    <col min="5" max="5" width="50" style="1" customWidth="1"/>
    <col min="6" max="16384" width="7.75" style="1"/>
  </cols>
  <sheetData>
    <row r="2" spans="2:5" ht="18" customHeight="1" x14ac:dyDescent="0.35">
      <c r="B2" s="22" t="s">
        <v>233</v>
      </c>
    </row>
    <row r="3" spans="2:5" ht="15" customHeight="1" x14ac:dyDescent="0.35">
      <c r="B3" s="23" t="s">
        <v>1</v>
      </c>
    </row>
    <row r="5" spans="2:5" ht="15" customHeight="1" x14ac:dyDescent="0.35">
      <c r="B5" s="24" t="s">
        <v>234</v>
      </c>
      <c r="C5" s="24" t="s">
        <v>235</v>
      </c>
      <c r="D5" s="24" t="s">
        <v>236</v>
      </c>
      <c r="E5" s="24" t="s">
        <v>10</v>
      </c>
    </row>
    <row r="6" spans="2:5" ht="15" customHeight="1" x14ac:dyDescent="0.35">
      <c r="B6" s="57" t="s">
        <v>237</v>
      </c>
      <c r="C6" s="57" t="s">
        <v>2</v>
      </c>
      <c r="D6" s="57" t="s">
        <v>238</v>
      </c>
      <c r="E6" s="57" t="s">
        <v>239</v>
      </c>
    </row>
    <row r="7" spans="2:5" ht="15" customHeight="1" x14ac:dyDescent="0.35">
      <c r="B7" s="57" t="s">
        <v>237</v>
      </c>
      <c r="C7" s="57" t="s">
        <v>240</v>
      </c>
      <c r="D7" s="57" t="s">
        <v>241</v>
      </c>
      <c r="E7" s="57" t="s">
        <v>242</v>
      </c>
    </row>
    <row r="8" spans="2:5" ht="15" customHeight="1" x14ac:dyDescent="0.35">
      <c r="B8" s="57" t="s">
        <v>237</v>
      </c>
      <c r="C8" s="57" t="s">
        <v>4</v>
      </c>
      <c r="D8" s="57" t="s">
        <v>243</v>
      </c>
      <c r="E8" s="57" t="s">
        <v>244</v>
      </c>
    </row>
    <row r="9" spans="2:5" ht="15" customHeight="1" x14ac:dyDescent="0.35">
      <c r="B9" s="57" t="s">
        <v>237</v>
      </c>
      <c r="C9" s="57" t="s">
        <v>245</v>
      </c>
      <c r="D9" s="57" t="s">
        <v>246</v>
      </c>
      <c r="E9" s="57" t="s">
        <v>247</v>
      </c>
    </row>
    <row r="10" spans="2:5" ht="15" customHeight="1" x14ac:dyDescent="0.35">
      <c r="B10" s="57" t="s">
        <v>237</v>
      </c>
      <c r="C10" s="57" t="s">
        <v>6</v>
      </c>
      <c r="D10" s="57" t="s">
        <v>248</v>
      </c>
      <c r="E10" s="57" t="s">
        <v>249</v>
      </c>
    </row>
    <row r="11" spans="2:5" ht="15" customHeight="1" x14ac:dyDescent="0.35">
      <c r="B11" s="57" t="s">
        <v>237</v>
      </c>
      <c r="C11" s="57" t="s">
        <v>250</v>
      </c>
      <c r="D11" s="57" t="s">
        <v>251</v>
      </c>
      <c r="E11" s="57" t="s">
        <v>252</v>
      </c>
    </row>
    <row r="12" spans="2:5" ht="15" customHeight="1" x14ac:dyDescent="0.35">
      <c r="B12" s="57" t="s">
        <v>237</v>
      </c>
      <c r="C12" s="57" t="s">
        <v>253</v>
      </c>
      <c r="D12" s="57" t="s">
        <v>254</v>
      </c>
      <c r="E12" s="57" t="s">
        <v>255</v>
      </c>
    </row>
    <row r="13" spans="2:5" ht="15" customHeight="1" x14ac:dyDescent="0.35">
      <c r="B13" s="57" t="s">
        <v>237</v>
      </c>
      <c r="C13" s="57" t="s">
        <v>256</v>
      </c>
      <c r="D13" s="57" t="s">
        <v>257</v>
      </c>
      <c r="E13" s="57" t="s">
        <v>258</v>
      </c>
    </row>
    <row r="14" spans="2:5" ht="15" customHeight="1" x14ac:dyDescent="0.35">
      <c r="B14" s="57" t="s">
        <v>237</v>
      </c>
      <c r="C14" s="57" t="s">
        <v>259</v>
      </c>
      <c r="D14" s="57" t="s">
        <v>260</v>
      </c>
      <c r="E14" s="57" t="s">
        <v>261</v>
      </c>
    </row>
    <row r="15" spans="2:5" ht="15" customHeight="1" x14ac:dyDescent="0.35">
      <c r="B15" s="57" t="s">
        <v>237</v>
      </c>
      <c r="C15" s="57" t="s">
        <v>19</v>
      </c>
      <c r="D15" s="57" t="s">
        <v>262</v>
      </c>
      <c r="E15" s="57" t="s">
        <v>263</v>
      </c>
    </row>
    <row r="16" spans="2:5" ht="15" customHeight="1" x14ac:dyDescent="0.35">
      <c r="B16" s="57" t="s">
        <v>237</v>
      </c>
      <c r="C16" s="57" t="s">
        <v>264</v>
      </c>
      <c r="D16" s="57" t="s">
        <v>265</v>
      </c>
      <c r="E16" s="57" t="s">
        <v>266</v>
      </c>
    </row>
    <row r="17" spans="2:5" ht="15" customHeight="1" x14ac:dyDescent="0.35">
      <c r="B17" s="57" t="s">
        <v>237</v>
      </c>
      <c r="C17" s="57" t="s">
        <v>20</v>
      </c>
      <c r="D17" s="57" t="s">
        <v>267</v>
      </c>
      <c r="E17" s="57" t="s">
        <v>268</v>
      </c>
    </row>
    <row r="18" spans="2:5" ht="15" customHeight="1" x14ac:dyDescent="0.35">
      <c r="B18" s="57" t="s">
        <v>237</v>
      </c>
      <c r="C18" s="57" t="s">
        <v>269</v>
      </c>
      <c r="D18" s="57" t="s">
        <v>270</v>
      </c>
      <c r="E18" s="57" t="s">
        <v>271</v>
      </c>
    </row>
    <row r="19" spans="2:5" ht="15" customHeight="1" x14ac:dyDescent="0.35">
      <c r="B19" s="57" t="s">
        <v>237</v>
      </c>
      <c r="C19" s="57" t="s">
        <v>22</v>
      </c>
      <c r="D19" s="57" t="s">
        <v>272</v>
      </c>
      <c r="E19" s="57" t="s">
        <v>273</v>
      </c>
    </row>
    <row r="20" spans="2:5" ht="15" customHeight="1" x14ac:dyDescent="0.35">
      <c r="B20" s="57" t="s">
        <v>237</v>
      </c>
      <c r="C20" s="57" t="s">
        <v>274</v>
      </c>
      <c r="D20" s="57" t="s">
        <v>275</v>
      </c>
      <c r="E20" s="57" t="s">
        <v>276</v>
      </c>
    </row>
    <row r="21" spans="2:5" ht="15" customHeight="1" x14ac:dyDescent="0.35">
      <c r="B21" s="57" t="s">
        <v>237</v>
      </c>
      <c r="C21" s="57" t="s">
        <v>277</v>
      </c>
      <c r="D21" s="57" t="s">
        <v>278</v>
      </c>
      <c r="E21" s="57" t="s">
        <v>279</v>
      </c>
    </row>
    <row r="22" spans="2:5" ht="15" customHeight="1" x14ac:dyDescent="0.35">
      <c r="B22" s="57" t="s">
        <v>237</v>
      </c>
      <c r="C22" s="57" t="s">
        <v>280</v>
      </c>
      <c r="D22" s="57" t="s">
        <v>281</v>
      </c>
      <c r="E22" s="57" t="s">
        <v>282</v>
      </c>
    </row>
    <row r="24" spans="2:5" ht="15" customHeight="1" x14ac:dyDescent="0.35">
      <c r="B24" s="57" t="s">
        <v>283</v>
      </c>
      <c r="C24" s="57" t="s">
        <v>29</v>
      </c>
      <c r="D24" s="57" t="s">
        <v>284</v>
      </c>
      <c r="E24" s="57" t="s">
        <v>285</v>
      </c>
    </row>
    <row r="25" spans="2:5" ht="15" customHeight="1" x14ac:dyDescent="0.35">
      <c r="B25" s="57" t="s">
        <v>283</v>
      </c>
      <c r="C25" s="57" t="s">
        <v>286</v>
      </c>
      <c r="D25" s="57" t="s">
        <v>287</v>
      </c>
      <c r="E25" s="57" t="s">
        <v>288</v>
      </c>
    </row>
    <row r="26" spans="2:5" ht="15" customHeight="1" x14ac:dyDescent="0.35">
      <c r="B26" s="57" t="s">
        <v>283</v>
      </c>
      <c r="C26" s="57" t="s">
        <v>30</v>
      </c>
      <c r="D26" s="57" t="s">
        <v>289</v>
      </c>
      <c r="E26" s="57" t="s">
        <v>290</v>
      </c>
    </row>
    <row r="27" spans="2:5" ht="15" customHeight="1" x14ac:dyDescent="0.35">
      <c r="B27" s="57" t="s">
        <v>283</v>
      </c>
      <c r="C27" s="57" t="s">
        <v>291</v>
      </c>
      <c r="D27" s="57" t="s">
        <v>292</v>
      </c>
      <c r="E27" s="57" t="s">
        <v>293</v>
      </c>
    </row>
    <row r="28" spans="2:5" ht="15" customHeight="1" x14ac:dyDescent="0.35">
      <c r="B28" s="57" t="s">
        <v>283</v>
      </c>
      <c r="C28" s="57" t="s">
        <v>31</v>
      </c>
      <c r="D28" s="57" t="s">
        <v>294</v>
      </c>
      <c r="E28" s="57" t="s">
        <v>295</v>
      </c>
    </row>
    <row r="29" spans="2:5" ht="15" customHeight="1" x14ac:dyDescent="0.35">
      <c r="B29" s="57" t="s">
        <v>283</v>
      </c>
      <c r="C29" s="57" t="s">
        <v>296</v>
      </c>
      <c r="D29" s="57" t="s">
        <v>297</v>
      </c>
      <c r="E29" s="57" t="s">
        <v>298</v>
      </c>
    </row>
    <row r="30" spans="2:5" ht="15" customHeight="1" x14ac:dyDescent="0.35">
      <c r="B30" s="57" t="s">
        <v>283</v>
      </c>
      <c r="C30" s="57" t="s">
        <v>32</v>
      </c>
      <c r="D30" s="57" t="s">
        <v>299</v>
      </c>
      <c r="E30" s="57" t="s">
        <v>300</v>
      </c>
    </row>
    <row r="31" spans="2:5" ht="15" customHeight="1" x14ac:dyDescent="0.35">
      <c r="B31" s="57" t="s">
        <v>283</v>
      </c>
      <c r="C31" s="57" t="s">
        <v>301</v>
      </c>
      <c r="D31" s="57" t="s">
        <v>302</v>
      </c>
      <c r="E31" s="57" t="s">
        <v>303</v>
      </c>
    </row>
    <row r="32" spans="2:5" ht="15" customHeight="1" x14ac:dyDescent="0.35">
      <c r="B32" s="57" t="s">
        <v>283</v>
      </c>
      <c r="C32" s="57" t="s">
        <v>34</v>
      </c>
      <c r="D32" s="57" t="s">
        <v>304</v>
      </c>
      <c r="E32" s="57" t="s">
        <v>305</v>
      </c>
    </row>
    <row r="33" spans="2:5" ht="15" customHeight="1" x14ac:dyDescent="0.35">
      <c r="B33" s="57" t="s">
        <v>283</v>
      </c>
      <c r="C33" s="57" t="s">
        <v>306</v>
      </c>
      <c r="D33" s="57" t="s">
        <v>307</v>
      </c>
      <c r="E33" s="57" t="s">
        <v>308</v>
      </c>
    </row>
    <row r="34" spans="2:5" ht="15" customHeight="1" x14ac:dyDescent="0.35">
      <c r="B34" s="57" t="s">
        <v>283</v>
      </c>
      <c r="C34" s="57" t="s">
        <v>35</v>
      </c>
      <c r="D34" s="57" t="s">
        <v>309</v>
      </c>
      <c r="E34" s="57" t="s">
        <v>310</v>
      </c>
    </row>
    <row r="35" spans="2:5" ht="15" customHeight="1" x14ac:dyDescent="0.35">
      <c r="B35" s="57" t="s">
        <v>283</v>
      </c>
      <c r="C35" s="57" t="s">
        <v>311</v>
      </c>
      <c r="D35" s="57" t="s">
        <v>312</v>
      </c>
      <c r="E35" s="57" t="s">
        <v>313</v>
      </c>
    </row>
    <row r="36" spans="2:5" ht="15" customHeight="1" x14ac:dyDescent="0.35">
      <c r="B36" s="57" t="s">
        <v>283</v>
      </c>
      <c r="C36" s="57" t="s">
        <v>36</v>
      </c>
      <c r="D36" s="57" t="s">
        <v>314</v>
      </c>
      <c r="E36" s="57" t="s">
        <v>315</v>
      </c>
    </row>
    <row r="37" spans="2:5" ht="15" customHeight="1" x14ac:dyDescent="0.35">
      <c r="B37" s="57" t="s">
        <v>283</v>
      </c>
      <c r="C37" s="57" t="s">
        <v>316</v>
      </c>
      <c r="D37" s="57" t="s">
        <v>317</v>
      </c>
      <c r="E37" s="57" t="s">
        <v>318</v>
      </c>
    </row>
    <row r="38" spans="2:5" ht="15" customHeight="1" x14ac:dyDescent="0.35">
      <c r="B38" s="57" t="s">
        <v>283</v>
      </c>
      <c r="C38" s="57" t="s">
        <v>39</v>
      </c>
      <c r="D38" s="57" t="s">
        <v>319</v>
      </c>
      <c r="E38" s="57" t="s">
        <v>320</v>
      </c>
    </row>
    <row r="39" spans="2:5" ht="15" customHeight="1" x14ac:dyDescent="0.35">
      <c r="B39" s="57" t="s">
        <v>283</v>
      </c>
      <c r="C39" s="57" t="s">
        <v>321</v>
      </c>
      <c r="D39" s="57" t="s">
        <v>322</v>
      </c>
      <c r="E39" s="57" t="s">
        <v>323</v>
      </c>
    </row>
    <row r="40" spans="2:5" ht="15" customHeight="1" x14ac:dyDescent="0.35">
      <c r="B40" s="57" t="s">
        <v>283</v>
      </c>
      <c r="C40" s="57" t="s">
        <v>40</v>
      </c>
      <c r="D40" s="57" t="s">
        <v>324</v>
      </c>
      <c r="E40" s="57" t="s">
        <v>325</v>
      </c>
    </row>
    <row r="41" spans="2:5" ht="15" customHeight="1" x14ac:dyDescent="0.35">
      <c r="B41" s="57" t="s">
        <v>283</v>
      </c>
      <c r="C41" s="57" t="s">
        <v>326</v>
      </c>
      <c r="D41" s="57" t="s">
        <v>327</v>
      </c>
      <c r="E41" s="57" t="s">
        <v>328</v>
      </c>
    </row>
    <row r="42" spans="2:5" ht="15" customHeight="1" x14ac:dyDescent="0.35">
      <c r="B42" s="57" t="s">
        <v>283</v>
      </c>
      <c r="C42" s="57" t="s">
        <v>41</v>
      </c>
      <c r="D42" s="57" t="s">
        <v>329</v>
      </c>
      <c r="E42" s="57" t="s">
        <v>330</v>
      </c>
    </row>
    <row r="43" spans="2:5" ht="15" customHeight="1" x14ac:dyDescent="0.35">
      <c r="B43" s="57" t="s">
        <v>283</v>
      </c>
      <c r="C43" s="57" t="s">
        <v>331</v>
      </c>
      <c r="D43" s="57" t="s">
        <v>332</v>
      </c>
      <c r="E43" s="57" t="s">
        <v>333</v>
      </c>
    </row>
    <row r="44" spans="2:5" ht="15" customHeight="1" x14ac:dyDescent="0.35">
      <c r="B44" s="57" t="s">
        <v>283</v>
      </c>
      <c r="C44" s="57" t="s">
        <v>43</v>
      </c>
      <c r="D44" s="57" t="s">
        <v>334</v>
      </c>
      <c r="E44" s="57" t="s">
        <v>335</v>
      </c>
    </row>
    <row r="45" spans="2:5" ht="15" customHeight="1" x14ac:dyDescent="0.35">
      <c r="B45" s="57" t="s">
        <v>283</v>
      </c>
      <c r="C45" s="57" t="s">
        <v>336</v>
      </c>
      <c r="D45" s="57" t="s">
        <v>337</v>
      </c>
      <c r="E45" s="57" t="s">
        <v>338</v>
      </c>
    </row>
    <row r="47" spans="2:5" ht="15" customHeight="1" x14ac:dyDescent="0.35">
      <c r="B47" s="57" t="s">
        <v>339</v>
      </c>
      <c r="C47" s="57" t="s">
        <v>26</v>
      </c>
      <c r="D47" s="57" t="s">
        <v>340</v>
      </c>
      <c r="E47" s="57" t="s">
        <v>341</v>
      </c>
    </row>
    <row r="48" spans="2:5" ht="15" customHeight="1" x14ac:dyDescent="0.35">
      <c r="B48" s="57" t="s">
        <v>339</v>
      </c>
      <c r="C48" s="57" t="s">
        <v>342</v>
      </c>
      <c r="D48" s="57" t="s">
        <v>343</v>
      </c>
      <c r="E48" s="57" t="s">
        <v>344</v>
      </c>
    </row>
    <row r="49" spans="2:5" ht="15" customHeight="1" x14ac:dyDescent="0.35">
      <c r="B49" s="57" t="s">
        <v>339</v>
      </c>
      <c r="C49" s="57" t="s">
        <v>345</v>
      </c>
      <c r="D49" s="57" t="s">
        <v>346</v>
      </c>
      <c r="E49" s="57" t="s">
        <v>347</v>
      </c>
    </row>
    <row r="50" spans="2:5" ht="15" customHeight="1" x14ac:dyDescent="0.35">
      <c r="B50" s="57" t="s">
        <v>339</v>
      </c>
      <c r="C50" s="57" t="s">
        <v>348</v>
      </c>
      <c r="D50" s="57" t="s">
        <v>349</v>
      </c>
      <c r="E50" s="57" t="s">
        <v>350</v>
      </c>
    </row>
    <row r="51" spans="2:5" ht="15" customHeight="1" x14ac:dyDescent="0.35">
      <c r="B51" s="57" t="s">
        <v>339</v>
      </c>
      <c r="C51" s="57" t="s">
        <v>351</v>
      </c>
      <c r="D51" s="57" t="s">
        <v>352</v>
      </c>
      <c r="E51" s="57" t="s">
        <v>353</v>
      </c>
    </row>
    <row r="52" spans="2:5" ht="15" customHeight="1" x14ac:dyDescent="0.35">
      <c r="B52" s="57" t="s">
        <v>339</v>
      </c>
      <c r="C52" s="57" t="s">
        <v>354</v>
      </c>
      <c r="D52" s="57" t="s">
        <v>355</v>
      </c>
      <c r="E52" s="57" t="s">
        <v>356</v>
      </c>
    </row>
    <row r="53" spans="2:5" ht="15" customHeight="1" x14ac:dyDescent="0.35">
      <c r="B53" s="57" t="s">
        <v>339</v>
      </c>
      <c r="C53" s="57" t="s">
        <v>54</v>
      </c>
      <c r="D53" s="57" t="s">
        <v>357</v>
      </c>
      <c r="E53" s="57" t="s">
        <v>358</v>
      </c>
    </row>
    <row r="54" spans="2:5" ht="15" customHeight="1" x14ac:dyDescent="0.35">
      <c r="B54" s="57" t="s">
        <v>339</v>
      </c>
      <c r="C54" s="57" t="s">
        <v>359</v>
      </c>
      <c r="D54" s="57" t="s">
        <v>360</v>
      </c>
      <c r="E54" s="57" t="s">
        <v>361</v>
      </c>
    </row>
    <row r="55" spans="2:5" ht="15" customHeight="1" x14ac:dyDescent="0.35">
      <c r="B55" s="57" t="s">
        <v>339</v>
      </c>
      <c r="C55" s="57" t="s">
        <v>362</v>
      </c>
      <c r="D55" s="57" t="s">
        <v>363</v>
      </c>
      <c r="E55" s="57" t="s">
        <v>364</v>
      </c>
    </row>
    <row r="56" spans="2:5" ht="15" customHeight="1" x14ac:dyDescent="0.35">
      <c r="B56" s="57" t="s">
        <v>339</v>
      </c>
      <c r="C56" s="57" t="s">
        <v>365</v>
      </c>
      <c r="D56" s="57" t="s">
        <v>366</v>
      </c>
      <c r="E56" s="57" t="s">
        <v>367</v>
      </c>
    </row>
    <row r="57" spans="2:5" ht="15" customHeight="1" x14ac:dyDescent="0.35">
      <c r="B57" s="57" t="s">
        <v>339</v>
      </c>
      <c r="C57" s="57" t="s">
        <v>368</v>
      </c>
      <c r="D57" s="57" t="s">
        <v>369</v>
      </c>
      <c r="E57" s="57" t="s">
        <v>370</v>
      </c>
    </row>
    <row r="58" spans="2:5" ht="15" customHeight="1" x14ac:dyDescent="0.35">
      <c r="B58" s="57" t="s">
        <v>339</v>
      </c>
      <c r="C58" s="57" t="s">
        <v>371</v>
      </c>
      <c r="D58" s="57" t="s">
        <v>372</v>
      </c>
      <c r="E58" s="57" t="s">
        <v>373</v>
      </c>
    </row>
    <row r="59" spans="2:5" ht="15" customHeight="1" x14ac:dyDescent="0.35">
      <c r="B59" s="57" t="s">
        <v>339</v>
      </c>
      <c r="C59" s="57" t="s">
        <v>374</v>
      </c>
      <c r="D59" s="57" t="s">
        <v>375</v>
      </c>
      <c r="E59" s="57" t="s">
        <v>376</v>
      </c>
    </row>
    <row r="60" spans="2:5" ht="15" customHeight="1" x14ac:dyDescent="0.35">
      <c r="B60" s="57" t="s">
        <v>339</v>
      </c>
      <c r="C60" s="57" t="s">
        <v>377</v>
      </c>
      <c r="D60" s="57" t="s">
        <v>378</v>
      </c>
      <c r="E60" s="57" t="s">
        <v>379</v>
      </c>
    </row>
    <row r="61" spans="2:5" ht="15" customHeight="1" x14ac:dyDescent="0.35">
      <c r="B61" s="57" t="s">
        <v>339</v>
      </c>
      <c r="C61" s="57" t="s">
        <v>62</v>
      </c>
      <c r="D61" s="57" t="s">
        <v>380</v>
      </c>
      <c r="E61" s="57" t="s">
        <v>381</v>
      </c>
    </row>
    <row r="62" spans="2:5" ht="15" customHeight="1" x14ac:dyDescent="0.35">
      <c r="B62" s="57" t="s">
        <v>339</v>
      </c>
      <c r="C62" s="57" t="s">
        <v>382</v>
      </c>
      <c r="D62" s="57" t="s">
        <v>383</v>
      </c>
      <c r="E62" s="57" t="s">
        <v>384</v>
      </c>
    </row>
    <row r="64" spans="2:5" ht="15" customHeight="1" x14ac:dyDescent="0.35">
      <c r="B64" s="57" t="s">
        <v>385</v>
      </c>
      <c r="C64" s="57" t="s">
        <v>66</v>
      </c>
      <c r="D64" s="57" t="s">
        <v>386</v>
      </c>
      <c r="E64" s="57" t="s">
        <v>387</v>
      </c>
    </row>
    <row r="65" spans="2:5" ht="15" customHeight="1" x14ac:dyDescent="0.35">
      <c r="B65" s="57" t="s">
        <v>385</v>
      </c>
      <c r="C65" s="57" t="s">
        <v>67</v>
      </c>
      <c r="D65" s="57" t="s">
        <v>388</v>
      </c>
      <c r="E65" s="57" t="s">
        <v>389</v>
      </c>
    </row>
    <row r="66" spans="2:5" ht="15" customHeight="1" x14ac:dyDescent="0.35">
      <c r="B66" s="57" t="s">
        <v>385</v>
      </c>
      <c r="C66" s="57" t="s">
        <v>68</v>
      </c>
      <c r="D66" s="57" t="s">
        <v>390</v>
      </c>
      <c r="E66" s="57" t="s">
        <v>391</v>
      </c>
    </row>
    <row r="67" spans="2:5" ht="15" customHeight="1" x14ac:dyDescent="0.35">
      <c r="B67" s="57" t="s">
        <v>385</v>
      </c>
      <c r="C67" s="57" t="s">
        <v>69</v>
      </c>
      <c r="D67" s="57" t="s">
        <v>392</v>
      </c>
      <c r="E67" s="57" t="s">
        <v>393</v>
      </c>
    </row>
    <row r="68" spans="2:5" ht="15" customHeight="1" x14ac:dyDescent="0.35">
      <c r="B68" s="57" t="s">
        <v>385</v>
      </c>
      <c r="C68" s="57" t="s">
        <v>70</v>
      </c>
      <c r="D68" s="57" t="s">
        <v>394</v>
      </c>
      <c r="E68" s="57" t="s">
        <v>395</v>
      </c>
    </row>
    <row r="69" spans="2:5" ht="15" customHeight="1" x14ac:dyDescent="0.35">
      <c r="B69" s="57" t="s">
        <v>385</v>
      </c>
      <c r="C69" s="57" t="s">
        <v>72</v>
      </c>
      <c r="D69" s="57" t="s">
        <v>396</v>
      </c>
      <c r="E69" s="57" t="s">
        <v>397</v>
      </c>
    </row>
    <row r="70" spans="2:5" ht="15" customHeight="1" x14ac:dyDescent="0.35">
      <c r="B70" s="57" t="s">
        <v>385</v>
      </c>
      <c r="C70" s="57" t="s">
        <v>73</v>
      </c>
      <c r="D70" s="57" t="s">
        <v>398</v>
      </c>
      <c r="E70" s="57" t="s">
        <v>399</v>
      </c>
    </row>
    <row r="71" spans="2:5" ht="15" customHeight="1" x14ac:dyDescent="0.35">
      <c r="B71" s="57" t="s">
        <v>385</v>
      </c>
      <c r="C71" s="57" t="s">
        <v>74</v>
      </c>
      <c r="D71" s="57" t="s">
        <v>400</v>
      </c>
      <c r="E71" s="57" t="s">
        <v>401</v>
      </c>
    </row>
    <row r="72" spans="2:5" ht="15" customHeight="1" x14ac:dyDescent="0.35">
      <c r="B72" s="57" t="s">
        <v>385</v>
      </c>
      <c r="C72" s="57" t="s">
        <v>75</v>
      </c>
      <c r="D72" s="57" t="s">
        <v>402</v>
      </c>
      <c r="E72" s="57" t="s">
        <v>403</v>
      </c>
    </row>
    <row r="73" spans="2:5" ht="15" customHeight="1" x14ac:dyDescent="0.35">
      <c r="B73" s="57" t="s">
        <v>385</v>
      </c>
      <c r="C73" s="57" t="s">
        <v>76</v>
      </c>
      <c r="D73" s="57" t="s">
        <v>404</v>
      </c>
      <c r="E73" s="57" t="s">
        <v>405</v>
      </c>
    </row>
    <row r="74" spans="2:5" ht="15" customHeight="1" x14ac:dyDescent="0.35">
      <c r="B74" s="57" t="s">
        <v>385</v>
      </c>
      <c r="C74" s="57" t="s">
        <v>77</v>
      </c>
      <c r="D74" s="57" t="s">
        <v>406</v>
      </c>
      <c r="E74" s="57" t="s">
        <v>407</v>
      </c>
    </row>
    <row r="75" spans="2:5" ht="15" customHeight="1" x14ac:dyDescent="0.35">
      <c r="B75" s="57" t="s">
        <v>385</v>
      </c>
      <c r="C75" s="57" t="s">
        <v>78</v>
      </c>
      <c r="D75" s="57" t="s">
        <v>408</v>
      </c>
      <c r="E75" s="57" t="s">
        <v>409</v>
      </c>
    </row>
    <row r="76" spans="2:5" ht="15" customHeight="1" x14ac:dyDescent="0.35">
      <c r="B76" s="57" t="s">
        <v>385</v>
      </c>
      <c r="C76" s="57" t="s">
        <v>410</v>
      </c>
      <c r="D76" s="57" t="s">
        <v>411</v>
      </c>
      <c r="E76" s="57" t="s">
        <v>412</v>
      </c>
    </row>
    <row r="77" spans="2:5" ht="15" customHeight="1" x14ac:dyDescent="0.35">
      <c r="B77" s="57" t="s">
        <v>385</v>
      </c>
      <c r="C77" s="57" t="s">
        <v>413</v>
      </c>
      <c r="D77" s="57" t="s">
        <v>414</v>
      </c>
      <c r="E77" s="57" t="s">
        <v>415</v>
      </c>
    </row>
    <row r="78" spans="2:5" ht="15" customHeight="1" x14ac:dyDescent="0.35">
      <c r="B78" s="57" t="s">
        <v>385</v>
      </c>
      <c r="C78" s="57" t="s">
        <v>416</v>
      </c>
      <c r="D78" s="57" t="s">
        <v>417</v>
      </c>
      <c r="E78" s="57" t="s">
        <v>418</v>
      </c>
    </row>
    <row r="80" spans="2:5" ht="15" customHeight="1" x14ac:dyDescent="0.35">
      <c r="B80" s="57" t="s">
        <v>419</v>
      </c>
      <c r="C80" s="57" t="s">
        <v>420</v>
      </c>
      <c r="D80" s="57" t="s">
        <v>421</v>
      </c>
      <c r="E80" s="57" t="s">
        <v>422</v>
      </c>
    </row>
    <row r="81" spans="2:5" ht="15" customHeight="1" x14ac:dyDescent="0.35">
      <c r="B81" s="57" t="s">
        <v>419</v>
      </c>
      <c r="C81" s="57" t="s">
        <v>423</v>
      </c>
      <c r="D81" s="57" t="s">
        <v>424</v>
      </c>
      <c r="E81" s="57" t="s">
        <v>425</v>
      </c>
    </row>
    <row r="82" spans="2:5" ht="15" customHeight="1" x14ac:dyDescent="0.35">
      <c r="B82" s="57" t="s">
        <v>419</v>
      </c>
      <c r="C82" s="57" t="s">
        <v>426</v>
      </c>
      <c r="D82" s="57" t="s">
        <v>427</v>
      </c>
      <c r="E82" s="57" t="s">
        <v>428</v>
      </c>
    </row>
    <row r="83" spans="2:5" ht="15" customHeight="1" x14ac:dyDescent="0.35">
      <c r="B83" s="57" t="s">
        <v>419</v>
      </c>
      <c r="C83" s="57" t="s">
        <v>97</v>
      </c>
      <c r="D83" s="57" t="s">
        <v>429</v>
      </c>
      <c r="E83" s="57" t="s">
        <v>430</v>
      </c>
    </row>
    <row r="84" spans="2:5" ht="15" customHeight="1" x14ac:dyDescent="0.35">
      <c r="B84" s="57" t="s">
        <v>419</v>
      </c>
      <c r="C84" s="57" t="s">
        <v>98</v>
      </c>
      <c r="D84" s="57" t="s">
        <v>431</v>
      </c>
      <c r="E84" s="57" t="s">
        <v>432</v>
      </c>
    </row>
    <row r="85" spans="2:5" ht="15" customHeight="1" x14ac:dyDescent="0.35">
      <c r="B85" s="57" t="s">
        <v>419</v>
      </c>
      <c r="C85" s="57" t="s">
        <v>433</v>
      </c>
      <c r="D85" s="57" t="s">
        <v>434</v>
      </c>
      <c r="E85" s="57" t="s">
        <v>435</v>
      </c>
    </row>
    <row r="86" spans="2:5" ht="15" customHeight="1" x14ac:dyDescent="0.35">
      <c r="B86" s="57" t="s">
        <v>419</v>
      </c>
      <c r="C86" s="57" t="s">
        <v>118</v>
      </c>
      <c r="D86" s="57" t="s">
        <v>436</v>
      </c>
      <c r="E86" s="57" t="s">
        <v>437</v>
      </c>
    </row>
    <row r="88" spans="2:5" ht="15" customHeight="1" x14ac:dyDescent="0.35">
      <c r="B88" s="57" t="s">
        <v>438</v>
      </c>
      <c r="C88" s="57" t="s">
        <v>439</v>
      </c>
      <c r="D88" s="57" t="s">
        <v>440</v>
      </c>
      <c r="E88" s="57" t="s">
        <v>441</v>
      </c>
    </row>
    <row r="89" spans="2:5" ht="15" customHeight="1" x14ac:dyDescent="0.35">
      <c r="B89" s="57" t="s">
        <v>438</v>
      </c>
      <c r="C89" s="57" t="s">
        <v>442</v>
      </c>
      <c r="D89" s="57" t="s">
        <v>443</v>
      </c>
      <c r="E89" s="57" t="s">
        <v>444</v>
      </c>
    </row>
    <row r="90" spans="2:5" ht="15" customHeight="1" x14ac:dyDescent="0.35">
      <c r="B90" s="57" t="s">
        <v>438</v>
      </c>
      <c r="C90" s="57" t="s">
        <v>445</v>
      </c>
      <c r="D90" s="57" t="s">
        <v>446</v>
      </c>
      <c r="E90" s="57" t="s">
        <v>447</v>
      </c>
    </row>
    <row r="91" spans="2:5" ht="15" customHeight="1" x14ac:dyDescent="0.35">
      <c r="B91" s="57" t="s">
        <v>438</v>
      </c>
      <c r="C91" s="57" t="s">
        <v>448</v>
      </c>
      <c r="D91" s="57" t="s">
        <v>449</v>
      </c>
      <c r="E91" s="57" t="s">
        <v>450</v>
      </c>
    </row>
    <row r="92" spans="2:5" ht="15" customHeight="1" x14ac:dyDescent="0.35">
      <c r="B92" s="57" t="s">
        <v>438</v>
      </c>
      <c r="C92" s="57" t="s">
        <v>451</v>
      </c>
      <c r="D92" s="57" t="s">
        <v>452</v>
      </c>
      <c r="E92" s="57" t="s">
        <v>453</v>
      </c>
    </row>
    <row r="93" spans="2:5" ht="15" customHeight="1" x14ac:dyDescent="0.35">
      <c r="B93" s="57" t="s">
        <v>438</v>
      </c>
      <c r="C93" s="57" t="s">
        <v>454</v>
      </c>
      <c r="D93" s="57" t="s">
        <v>455</v>
      </c>
      <c r="E93" s="57" t="s">
        <v>456</v>
      </c>
    </row>
    <row r="94" spans="2:5" ht="15" customHeight="1" x14ac:dyDescent="0.35">
      <c r="B94" s="57" t="s">
        <v>438</v>
      </c>
      <c r="C94" s="57" t="s">
        <v>134</v>
      </c>
      <c r="D94" s="57" t="s">
        <v>457</v>
      </c>
      <c r="E94" s="57" t="s">
        <v>458</v>
      </c>
    </row>
    <row r="95" spans="2:5" ht="15" customHeight="1" x14ac:dyDescent="0.35">
      <c r="B95" s="57" t="s">
        <v>438</v>
      </c>
      <c r="C95" s="57" t="s">
        <v>135</v>
      </c>
      <c r="D95" s="57" t="s">
        <v>459</v>
      </c>
      <c r="E95" s="57" t="s">
        <v>460</v>
      </c>
    </row>
    <row r="96" spans="2:5" ht="15" customHeight="1" x14ac:dyDescent="0.35">
      <c r="B96" s="57" t="s">
        <v>438</v>
      </c>
      <c r="C96" s="57" t="s">
        <v>136</v>
      </c>
      <c r="D96" s="57" t="s">
        <v>461</v>
      </c>
      <c r="E96" s="57" t="s">
        <v>462</v>
      </c>
    </row>
    <row r="97" spans="2:5" ht="15" customHeight="1" x14ac:dyDescent="0.35">
      <c r="B97" s="57" t="s">
        <v>438</v>
      </c>
      <c r="C97" s="57" t="s">
        <v>141</v>
      </c>
      <c r="D97" s="57" t="s">
        <v>463</v>
      </c>
      <c r="E97" s="57" t="s">
        <v>464</v>
      </c>
    </row>
    <row r="98" spans="2:5" ht="15" customHeight="1" x14ac:dyDescent="0.35">
      <c r="B98" s="57" t="s">
        <v>438</v>
      </c>
      <c r="C98" s="57" t="s">
        <v>142</v>
      </c>
      <c r="D98" s="57" t="s">
        <v>465</v>
      </c>
      <c r="E98" s="57" t="s">
        <v>466</v>
      </c>
    </row>
    <row r="99" spans="2:5" ht="15" customHeight="1" x14ac:dyDescent="0.35">
      <c r="B99" s="57" t="s">
        <v>438</v>
      </c>
      <c r="C99" s="57" t="s">
        <v>143</v>
      </c>
      <c r="D99" s="57" t="s">
        <v>467</v>
      </c>
      <c r="E99" s="57" t="s">
        <v>468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</vt:lpstr>
      <vt:lpstr>BS</vt:lpstr>
      <vt:lpstr>Cash-Flow</vt:lpstr>
      <vt:lpstr>KPI</vt:lpstr>
      <vt:lpstr>Debt-Ratio</vt:lpstr>
      <vt:lpstr>Debt-Overview</vt:lpstr>
      <vt:lpstr>Adjustment-Types</vt:lpstr>
      <vt:lpstr>Input-Summary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Changez Ahmed</cp:lastModifiedBy>
  <dcterms:created xsi:type="dcterms:W3CDTF">2025-05-22T23:41:35Z</dcterms:created>
  <dcterms:modified xsi:type="dcterms:W3CDTF">2026-07-15T09:19:13Z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a715fd48-236c-4312-9d7c-090368055790</vt:lpwstr>
  </property>
</Properties>
</file>